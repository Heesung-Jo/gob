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javas2\gobstart\데이터\표준화\인사\"/>
    </mc:Choice>
  </mc:AlternateContent>
  <xr:revisionPtr revIDLastSave="0" documentId="13_ncr:1_{F3B0573C-AFB6-485D-8028-F8BD77B4BA89}" xr6:coauthVersionLast="47" xr6:coauthVersionMax="47" xr10:uidLastSave="{00000000-0000-0000-0000-000000000000}"/>
  <bookViews>
    <workbookView xWindow="-108" yWindow="-108" windowWidth="23256" windowHeight="12576" tabRatio="882" firstSheet="2" activeTab="4" xr2:uid="{6B3CC85A-E0D3-43D7-A248-42467F1287F1}"/>
  </bookViews>
  <sheets>
    <sheet name="인사_도안" sheetId="6" r:id="rId1"/>
    <sheet name="인사Sub1-채용및인사평가" sheetId="10" r:id="rId2"/>
    <sheet name="인사Sub3-급여관리_v2" sheetId="9" r:id="rId3"/>
    <sheet name="인사SUB4-퇴직급여 및 복리후생" sheetId="8" r:id="rId4"/>
    <sheet name="processdata" sheetId="1" r:id="rId5"/>
    <sheet name="parentnodedata" sheetId="2" r:id="rId6"/>
    <sheet name="basequestion" sheetId="17" r:id="rId7"/>
    <sheet name="processoption" sheetId="11" r:id="rId8"/>
    <sheet name="processoption2" sheetId="12" r:id="rId9"/>
    <sheet name="superpro_subpro" sheetId="5" r:id="rId10"/>
    <sheet name="Sheet4" sheetId="18" r:id="rId11"/>
  </sheets>
  <externalReferences>
    <externalReference r:id="rId12"/>
  </externalReferenc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36" i="11" l="1"/>
  <c r="AP37" i="11"/>
  <c r="AP35" i="11"/>
  <c r="AP34" i="11"/>
  <c r="AP33" i="11"/>
  <c r="AP32" i="11"/>
  <c r="AP31" i="11"/>
  <c r="AP30" i="11"/>
  <c r="AP29" i="11"/>
  <c r="AP28" i="11"/>
  <c r="AP27" i="11"/>
  <c r="AP26" i="11"/>
  <c r="AP25" i="11"/>
  <c r="AP23" i="11"/>
  <c r="AP24" i="11"/>
  <c r="AP22" i="11"/>
  <c r="AP21" i="11"/>
  <c r="AP20" i="11"/>
  <c r="AP18" i="11"/>
  <c r="AP19" i="11"/>
  <c r="AQ37" i="11" l="1"/>
  <c r="AQ36" i="11"/>
  <c r="AQ35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N37" i="11"/>
  <c r="AN36" i="11"/>
  <c r="AN35" i="11"/>
  <c r="AN34" i="11"/>
  <c r="AN33" i="11"/>
  <c r="AN32" i="11"/>
  <c r="AN31" i="11"/>
  <c r="AN30" i="11"/>
  <c r="AN29" i="11"/>
  <c r="AN28" i="11"/>
  <c r="AN27" i="11"/>
  <c r="AN26" i="11"/>
  <c r="AN25" i="11"/>
  <c r="AN24" i="11"/>
  <c r="AN23" i="11"/>
  <c r="AN22" i="11"/>
  <c r="AN21" i="11"/>
  <c r="AN20" i="11"/>
  <c r="AN19" i="11"/>
  <c r="AN18" i="11"/>
  <c r="AD1" i="11"/>
  <c r="P1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AW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T62" authorId="0" shapeId="0" xr:uid="{6D667B63-A5F4-4574-B356-351AB42FF100}">
      <text>
        <r>
          <rPr>
            <b/>
            <sz val="9"/>
            <color indexed="81"/>
            <rFont val="돋움"/>
            <family val="3"/>
            <charset val="129"/>
          </rPr>
          <t>박지은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프로그램을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열</t>
        </r>
        <r>
          <rPr>
            <b/>
            <sz val="9"/>
            <color indexed="81"/>
            <rFont val="Tahoma"/>
            <family val="2"/>
          </rPr>
          <t xml:space="preserve">? </t>
        </r>
        <r>
          <rPr>
            <b/>
            <sz val="9"/>
            <color indexed="81"/>
            <rFont val="돋움"/>
            <family val="3"/>
            <charset val="129"/>
          </rPr>
          <t>질문서</t>
        </r>
        <r>
          <rPr>
            <b/>
            <sz val="9"/>
            <color indexed="81"/>
            <rFont val="Tahoma"/>
            <family val="2"/>
          </rPr>
          <t xml:space="preserve">? </t>
        </r>
        <r>
          <rPr>
            <b/>
            <sz val="9"/>
            <color indexed="81"/>
            <rFont val="돋움"/>
            <family val="3"/>
            <charset val="129"/>
          </rPr>
          <t>추가하는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어떨까요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C21" authorId="0" shapeId="0" xr:uid="{6821E91E-C405-4B91-8E75-75A55AC25AC9}">
      <text>
        <r>
          <rPr>
            <b/>
            <sz val="9"/>
            <color indexed="81"/>
            <rFont val="돋움"/>
            <family val="3"/>
            <charset val="129"/>
          </rPr>
          <t>박지은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기타종업원급여은</t>
        </r>
        <r>
          <rPr>
            <sz val="9"/>
            <color indexed="81"/>
            <rFont val="Tahoma"/>
            <family val="2"/>
          </rPr>
          <t xml:space="preserve"> control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까요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할까요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L17" authorId="0" shapeId="0" xr:uid="{62DFA87C-1413-4758-89EC-E3CC290616EA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접근통제
</t>
        </r>
      </text>
    </comment>
    <comment ref="K24" authorId="0" shapeId="0" xr:uid="{C97C6A05-F2AA-449E-BDBD-4C08295B5EAF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급여계산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검증하는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통제가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필요한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것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같음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그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부분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추가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D5" authorId="0" shapeId="0" xr:uid="{8D923833-B221-4D2C-B97F-876C1F7878CD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담당자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팀
</t>
        </r>
      </text>
    </comment>
    <comment ref="D6" authorId="0" shapeId="0" xr:uid="{47ABBDC5-9259-4117-A336-46ECAF8FD87B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승인권자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팀
</t>
        </r>
      </text>
    </comment>
    <comment ref="H6" authorId="0" shapeId="0" xr:uid="{12545F9C-CE55-43B2-B7DA-C1E5BF866AA9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없음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0C82AB-EC4D-4C56-8F87-ADDF4895E21B}" keepAlive="1" name="쿼리 - basequestion_202202161951" description="통합 문서의 'basequestion_202202161951' 쿼리에 대한 연결입니다." type="5" refreshedVersion="0" background="1">
    <dbPr connection="Provider=Microsoft.Mashup.OleDb.1;Data Source=$Workbook$;Location=basequestion_202202161951;Extended Properties=&quot;&quot;" command="SELECT * FROM [basequestion_202202161951]"/>
  </connection>
  <connection id="2" xr16:uid="{100E8D57-6F30-4379-95DE-B16B950F7707}" keepAlive="1" name="쿼리 - basequestion_202202161951 (2)" description="통합 문서의 'basequestion_202202161951 (2)' 쿼리에 대한 연결입니다." type="5" refreshedVersion="0" background="1">
    <dbPr connection="Provider=Microsoft.Mashup.OleDb.1;Data Source=$Workbook$;Location=&quot;basequestion_202202161951 (2)&quot;;Extended Properties=&quot;&quot;" command="SELECT * FROM [basequestion_202202161951 (2)]"/>
  </connection>
  <connection id="3" xr16:uid="{74297ADE-2758-4633-8893-5DEC8B906E4D}" keepAlive="1" name="쿼리 - basequestion_202203141359" description="통합 문서의 'basequestion_202203141359' 쿼리에 대한 연결입니다." type="5" refreshedVersion="0" background="1">
    <dbPr connection="Provider=Microsoft.Mashup.OleDb.1;Data Source=$Workbook$;Location=basequestion_202203141359;Extended Properties=&quot;&quot;" command="SELECT * FROM [basequestion_202203141359]"/>
  </connection>
</connections>
</file>

<file path=xl/sharedStrings.xml><?xml version="1.0" encoding="utf-8"?>
<sst xmlns="http://schemas.openxmlformats.org/spreadsheetml/2006/main" count="2545" uniqueCount="901">
  <si>
    <t>id</t>
  </si>
  <si>
    <t>subprocess</t>
  </si>
  <si>
    <t>subprocesscode</t>
  </si>
  <si>
    <t>subprocessnumber</t>
  </si>
  <si>
    <t>businesscode</t>
  </si>
  <si>
    <t>controlcode1</t>
  </si>
  <si>
    <t>controlname1</t>
  </si>
  <si>
    <t>controlexplain1</t>
  </si>
  <si>
    <t>controlcode2</t>
  </si>
  <si>
    <t>controlname2</t>
  </si>
  <si>
    <t>controlexplain2</t>
  </si>
  <si>
    <t>controlcode3</t>
  </si>
  <si>
    <t>controlname3</t>
  </si>
  <si>
    <t>controlexplain3</t>
  </si>
  <si>
    <t>detailprocess</t>
  </si>
  <si>
    <t>detailprocessname</t>
  </si>
  <si>
    <t>exceptitem</t>
  </si>
  <si>
    <t>exceptexplain</t>
  </si>
  <si>
    <t>name</t>
  </si>
  <si>
    <t>processcode</t>
  </si>
  <si>
    <t>processname</t>
  </si>
  <si>
    <t>processexplain</t>
  </si>
  <si>
    <t>processname1</t>
  </si>
  <si>
    <t>processexplain1</t>
  </si>
  <si>
    <t>processname1_after</t>
  </si>
  <si>
    <t>processexplain1_after</t>
  </si>
  <si>
    <t>processname2</t>
  </si>
  <si>
    <t>processexplain2</t>
  </si>
  <si>
    <t>processname2_after</t>
  </si>
  <si>
    <t>processexplain2_after</t>
  </si>
  <si>
    <t>proofname</t>
  </si>
  <si>
    <t>risk</t>
  </si>
  <si>
    <t>riskcode</t>
  </si>
  <si>
    <t>riskgrade</t>
  </si>
  <si>
    <t>teamname</t>
  </si>
  <si>
    <t>ControlOwner</t>
  </si>
  <si>
    <t>superpro_id</t>
  </si>
  <si>
    <t>AW열까지가 DB고 여기부터는 참고용임</t>
    <phoneticPr fontId="18" type="noConversion"/>
  </si>
  <si>
    <t>채용 및 인사관리</t>
  </si>
  <si>
    <t>00001</t>
  </si>
  <si>
    <t>HR</t>
    <phoneticPr fontId="18" type="noConversion"/>
  </si>
  <si>
    <t xml:space="preserve">부적절한 신규 인원 수요 산정 </t>
  </si>
  <si>
    <t>@{담당자}@은 @{인원운용계획}@에 따른 신규충원인원의 수를 바탕으로 계산한 신규 인원의 수요가 적정하게 산정되지 않았을 경우 @{담당자2}@에게 사유를 질의한다.</t>
    <phoneticPr fontId="18" type="noConversion"/>
  </si>
  <si>
    <t/>
  </si>
  <si>
    <t>@{팀}@</t>
    <phoneticPr fontId="18" type="noConversion"/>
  </si>
  <si>
    <t>@{담당자}@</t>
    <phoneticPr fontId="18" type="noConversion"/>
  </si>
  <si>
    <t>지원자 모집</t>
  </si>
  <si>
    <t>same_fc</t>
    <phoneticPr fontId="18" type="noConversion"/>
  </si>
  <si>
    <t>val</t>
  </si>
  <si>
    <t>processdata_id</t>
  </si>
  <si>
    <t>start</t>
  </si>
  <si>
    <t>질문후에 구현</t>
    <phoneticPr fontId="18" type="noConversion"/>
  </si>
  <si>
    <t>id</t>
    <phoneticPr fontId="18" type="noConversion"/>
  </si>
  <si>
    <t>processdata_id</t>
    <phoneticPr fontId="18" type="noConversion"/>
  </si>
  <si>
    <t>result_value</t>
    <phoneticPr fontId="18" type="noConversion"/>
  </si>
  <si>
    <t>realname</t>
    <phoneticPr fontId="18" type="noConversion"/>
  </si>
  <si>
    <t>refname</t>
    <phoneticPr fontId="18" type="noConversion"/>
  </si>
  <si>
    <t>option1</t>
    <phoneticPr fontId="18" type="noConversion"/>
  </si>
  <si>
    <t>option2</t>
  </si>
  <si>
    <t>option3</t>
  </si>
  <si>
    <t>option4</t>
  </si>
  <si>
    <t>option5</t>
  </si>
  <si>
    <t>showing</t>
    <phoneticPr fontId="18" type="noConversion"/>
  </si>
  <si>
    <t>action_before</t>
    <phoneticPr fontId="18" type="noConversion"/>
  </si>
  <si>
    <t>action_after</t>
    <phoneticPr fontId="18" type="noConversion"/>
  </si>
  <si>
    <t>risk1</t>
    <phoneticPr fontId="18" type="noConversion"/>
  </si>
  <si>
    <t>risk2</t>
  </si>
  <si>
    <t>risk3</t>
  </si>
  <si>
    <t>num1</t>
    <phoneticPr fontId="18" type="noConversion"/>
  </si>
  <si>
    <t>num2</t>
    <phoneticPr fontId="18" type="noConversion"/>
  </si>
  <si>
    <t>select</t>
    <phoneticPr fontId="18" type="noConversion"/>
  </si>
  <si>
    <t>질문1</t>
    <phoneticPr fontId="18" type="noConversion"/>
  </si>
  <si>
    <t>기본</t>
    <phoneticPr fontId="18" type="noConversion"/>
  </si>
  <si>
    <t>주기</t>
    <phoneticPr fontId="18" type="noConversion"/>
  </si>
  <si>
    <t>매월</t>
    <phoneticPr fontId="18" type="noConversion"/>
  </si>
  <si>
    <t>연별</t>
    <phoneticPr fontId="18" type="noConversion"/>
  </si>
  <si>
    <t>select</t>
  </si>
  <si>
    <t>SAP</t>
    <phoneticPr fontId="18" type="noConversion"/>
  </si>
  <si>
    <t>승인권자</t>
    <phoneticPr fontId="18" type="noConversion"/>
  </si>
  <si>
    <t>질문2</t>
    <phoneticPr fontId="18" type="noConversion"/>
  </si>
  <si>
    <t>담당자</t>
    <phoneticPr fontId="18" type="noConversion"/>
  </si>
  <si>
    <t>selectplus</t>
    <phoneticPr fontId="18" type="noConversion"/>
  </si>
  <si>
    <t>담당자2</t>
    <phoneticPr fontId="18" type="noConversion"/>
  </si>
  <si>
    <t>대사</t>
    <phoneticPr fontId="18" type="noConversion"/>
  </si>
  <si>
    <t>인사계획서</t>
    <phoneticPr fontId="18" type="noConversion"/>
  </si>
  <si>
    <t>인사팀</t>
    <phoneticPr fontId="18" type="noConversion"/>
  </si>
  <si>
    <t>개발고려</t>
    <phoneticPr fontId="18" type="noConversion"/>
  </si>
  <si>
    <t>Y</t>
    <phoneticPr fontId="18" type="noConversion"/>
  </si>
  <si>
    <t>N</t>
    <phoneticPr fontId="18" type="noConversion"/>
  </si>
  <si>
    <t>설명</t>
    <phoneticPr fontId="18" type="noConversion"/>
  </si>
  <si>
    <t>선택</t>
    <phoneticPr fontId="18" type="noConversion"/>
  </si>
  <si>
    <t xml:space="preserve">1. 어떤 팀에서 담당을 하고 있나요? </t>
  </si>
  <si>
    <t>2. 혹시 해당 프로세스를 수행하기 위하여, 의사결정을 위한 의사결정기구 같은게 있나요?(이사회, 운영위원회 등)</t>
  </si>
  <si>
    <t>필수 단순 넘버링</t>
    <phoneticPr fontId="18" type="noConversion"/>
  </si>
  <si>
    <t>표준화고려</t>
    <phoneticPr fontId="18" type="noConversion"/>
  </si>
  <si>
    <t>표준화한 sub-process로 작성, 이전 표준화 및 대상회사로 작성하며 계속 고민하며 수정될 수 있는 항목, 하나당 플로우 차트 1장이 나올 수 있는 정도의 묶음이 좋음</t>
    <phoneticPr fontId="18" type="noConversion"/>
  </si>
  <si>
    <t>작성 편의를 위해 서브프로세스안 프로세스 구분 위해 단순 숫자만 기재</t>
    <phoneticPr fontId="18" type="noConversion"/>
  </si>
  <si>
    <t>메이저 프로세스명(다음 원칙)
한단어면 첫째둘째스펠링, 두단어면 각 단어 첫째스펠링
예)RE,PE,IN,FA,HR,TR,FR</t>
    <phoneticPr fontId="18" type="noConversion"/>
  </si>
  <si>
    <t>작성 편의를 위해 서브프로세스안 컨트롤 구분 위해 단순 숫자만 기재</t>
    <phoneticPr fontId="18" type="noConversion"/>
  </si>
  <si>
    <r>
      <t xml:space="preserve">회사명보다는 업종을 넣어주는게 나중에 확장시 좋지 않은지 </t>
    </r>
    <r>
      <rPr>
        <sz val="11"/>
        <color rgb="FFFF0000"/>
        <rFont val="맑은 고딕"/>
        <family val="3"/>
        <charset val="129"/>
        <scheme val="minor"/>
      </rPr>
      <t>개발팀과 논의</t>
    </r>
    <phoneticPr fontId="18" type="noConversion"/>
  </si>
  <si>
    <r>
      <t xml:space="preserve">작성 편의를 위해 메이저 프로세스안 서브프로세스 순서 구분 위해 단순 숫자만 기재, </t>
    </r>
    <r>
      <rPr>
        <sz val="11"/>
        <color rgb="FFFF0000"/>
        <rFont val="맑은 고딕"/>
        <family val="3"/>
        <charset val="129"/>
        <scheme val="minor"/>
      </rPr>
      <t>나중에 산출물에는 이런 코드들이 표준화시킨게 아니 회사에 테일러드된게 나와야되는데 그부분도 개발시 고려필요
우리는 단순넘버링이 1,2,3으로나가지만 그 회사가 1,3만 있는데면 산출물에는 당연 1,2로 나가야된다는 뜻</t>
    </r>
    <phoneticPr fontId="18" type="noConversion"/>
  </si>
  <si>
    <t>문서+통제의 형태
문서+통제로 할 경우 타 통제와 구분안될경우 주어포함
주어+문서+통제</t>
    <phoneticPr fontId="18" type="noConversion"/>
  </si>
  <si>
    <t>표준화 문구 작성 방법 참조</t>
    <phoneticPr fontId="18" type="noConversion"/>
  </si>
  <si>
    <t>하나의 프로세스에서 하나이상의 통제가 있을경우 이처럼 열로 추가 그외 앞선내용과 동일</t>
    <phoneticPr fontId="18" type="noConversion"/>
  </si>
  <si>
    <t>삭제해도 될듯</t>
    <phoneticPr fontId="18" type="noConversion"/>
  </si>
  <si>
    <t>예외사항 명으로 통제명과 동일하게 "문서 + 동사" 형태로 작성</t>
    <phoneticPr fontId="18" type="noConversion"/>
  </si>
  <si>
    <t>예외사항 내용으로 통제활동 표준화 형태로 작성</t>
    <phoneticPr fontId="18" type="noConversion"/>
  </si>
  <si>
    <r>
      <t xml:space="preserve">뒤 프로세스네임1로 진행되므로 삭제해도 될듯함, </t>
    </r>
    <r>
      <rPr>
        <sz val="11"/>
        <color rgb="FFFF0000"/>
        <rFont val="맑은 고딕"/>
        <family val="3"/>
        <charset val="129"/>
        <scheme val="minor"/>
      </rPr>
      <t>개발상 프로세스네임1이 한번더 기재하는게 필요하다면 유지</t>
    </r>
    <r>
      <rPr>
        <sz val="11"/>
        <color theme="1"/>
        <rFont val="맑은 고딕"/>
        <family val="2"/>
        <charset val="129"/>
        <scheme val="minor"/>
      </rPr>
      <t>(시작점이라 필요할 수도 있다는 생각이 들긴함)</t>
    </r>
    <phoneticPr fontId="18" type="noConversion"/>
  </si>
  <si>
    <t>메이저 국문명(다음 원칙)
매출,구매지출,재고자산,고정자산,인사,자금,재무보고</t>
    <phoneticPr fontId="18" type="noConversion"/>
  </si>
  <si>
    <t>플로우 차트상 박스 하나에 들어가는 프로세스, 통제기재하는 방법과 동일한 표준화 형태로 작성</t>
    <phoneticPr fontId="18" type="noConversion"/>
  </si>
  <si>
    <t xml:space="preserve">플로우 차트상 박스 하나에 들어가는 프로세스 설명, 통제기재하는 방법과 동일한 표준화 형태로 작성 </t>
    <phoneticPr fontId="18" type="noConversion"/>
  </si>
  <si>
    <r>
      <t xml:space="preserve">이부분이 살짝 고민되는 사항으로 박스하나인데 프로세스명에 두개이상으로 이럴경우 플로우 차트상 </t>
    </r>
    <r>
      <rPr>
        <sz val="11"/>
        <color rgb="FFFF0000"/>
        <rFont val="맑은 고딕"/>
        <family val="3"/>
        <charset val="129"/>
        <scheme val="minor"/>
      </rPr>
      <t>"결산일정 작성/결산일정 공지"</t>
    </r>
    <r>
      <rPr>
        <sz val="11"/>
        <color theme="1"/>
        <rFont val="맑은 고딕"/>
        <family val="2"/>
        <charset val="129"/>
        <scheme val="minor"/>
      </rPr>
      <t xml:space="preserve"> 처럼 보여주면될듯, 플로우 차트상 박스 하나에 들어가는 프로세스, 통제기재하는 방법과 동일한 표준화 형태로 작성</t>
    </r>
    <phoneticPr fontId="18" type="noConversion"/>
  </si>
  <si>
    <r>
      <t>업무기술서상 넘버링되어</t>
    </r>
    <r>
      <rPr>
        <sz val="11"/>
        <color rgb="FFFF0000"/>
        <rFont val="맑은 고딕"/>
        <family val="3"/>
        <charset val="129"/>
        <scheme val="minor"/>
      </rPr>
      <t xml:space="preserve"> "1. 재무팀 결산담당자는 사전에 결정되어 있는 결산일정(+몇일)을 그룹웨어를 통해 작성하여 재무팀 팀장에 전달한다.
2. 재무팀 팀장은 승인된 결산일정을 메일을 통해 결산과 관련된 각 부서에 공지한다." </t>
    </r>
    <r>
      <rPr>
        <sz val="11"/>
        <rFont val="맑은 고딕"/>
        <family val="3"/>
        <charset val="129"/>
        <scheme val="minor"/>
      </rPr>
      <t xml:space="preserve">보여주면될듯 </t>
    </r>
    <r>
      <rPr>
        <sz val="11"/>
        <color theme="1"/>
        <rFont val="맑은 고딕"/>
        <family val="2"/>
        <charset val="129"/>
        <scheme val="minor"/>
      </rPr>
      <t xml:space="preserve">플로우 차트상 박스 하나에 들어가는 프로세스 설명, 통제기재하는 방법과 동일한 표준화 형태로 작성 </t>
    </r>
    <phoneticPr fontId="18" type="noConversion"/>
  </si>
  <si>
    <t>industry</t>
    <phoneticPr fontId="18" type="noConversion"/>
  </si>
  <si>
    <t>제조업</t>
    <phoneticPr fontId="18" type="noConversion"/>
  </si>
  <si>
    <t>수시</t>
    <phoneticPr fontId="18" type="noConversion"/>
  </si>
  <si>
    <t>매일</t>
    <phoneticPr fontId="18" type="noConversion"/>
  </si>
  <si>
    <t>매분기</t>
    <phoneticPr fontId="18" type="noConversion"/>
  </si>
  <si>
    <t>매반기</t>
    <phoneticPr fontId="18" type="noConversion"/>
  </si>
  <si>
    <t>매년</t>
    <phoneticPr fontId="18" type="noConversion"/>
  </si>
  <si>
    <t>option6</t>
  </si>
  <si>
    <t>option7</t>
  </si>
  <si>
    <t>발생할 때</t>
    <phoneticPr fontId="18" type="noConversion"/>
  </si>
  <si>
    <t>그룹웨어</t>
    <phoneticPr fontId="18" type="noConversion"/>
  </si>
  <si>
    <t>팀장</t>
    <phoneticPr fontId="18" type="noConversion"/>
  </si>
  <si>
    <t>차석</t>
    <phoneticPr fontId="18" type="noConversion"/>
  </si>
  <si>
    <t>임원</t>
    <phoneticPr fontId="18" type="noConversion"/>
  </si>
  <si>
    <t>CFO</t>
    <phoneticPr fontId="18" type="noConversion"/>
  </si>
  <si>
    <t>CEO</t>
    <phoneticPr fontId="18" type="noConversion"/>
  </si>
  <si>
    <t>부문</t>
    <phoneticPr fontId="18" type="noConversion"/>
  </si>
  <si>
    <t>E-HR</t>
    <phoneticPr fontId="18" type="noConversion"/>
  </si>
  <si>
    <t>option8</t>
  </si>
  <si>
    <t>검증</t>
    <phoneticPr fontId="18" type="noConversion"/>
  </si>
  <si>
    <t>물리적 통제</t>
    <phoneticPr fontId="18" type="noConversion"/>
  </si>
  <si>
    <t>감독통제</t>
    <phoneticPr fontId="18" type="noConversion"/>
  </si>
  <si>
    <t>업무분장</t>
    <phoneticPr fontId="18" type="noConversion"/>
  </si>
  <si>
    <t>접근제한</t>
    <phoneticPr fontId="18" type="noConversion"/>
  </si>
  <si>
    <t>@{팀}@ @{담당자}@가(이) @{주기}@마다 @{시스템}@으로 전달받은 @{인사문서}@이 각 팀별 필요 인원의 수요를 적절히 반영하여 모집 인원을 적정하게 산정하였는지 ^{통제}^한다.</t>
    <phoneticPr fontId="18" type="noConversion"/>
  </si>
  <si>
    <t>@{인사문서}@</t>
    <phoneticPr fontId="18" type="noConversion"/>
  </si>
  <si>
    <t>프로세스만 있는 것과 동일하게 행추가해서 작성</t>
    <phoneticPr fontId="18" type="noConversion"/>
  </si>
  <si>
    <t>subpro_id</t>
  </si>
  <si>
    <t>부서장</t>
    <phoneticPr fontId="18" type="noConversion"/>
  </si>
  <si>
    <t>채용계획의 @{통제}@</t>
    <phoneticPr fontId="18" type="noConversion"/>
  </si>
  <si>
    <t>대표이사</t>
    <phoneticPr fontId="18" type="noConversion"/>
  </si>
  <si>
    <t>검토하고 승인</t>
    <phoneticPr fontId="18" type="noConversion"/>
  </si>
  <si>
    <t>근태관리</t>
    <phoneticPr fontId="18" type="noConversion"/>
  </si>
  <si>
    <t>MS Office</t>
    <phoneticPr fontId="18" type="noConversion"/>
  </si>
  <si>
    <t>급여관리</t>
    <phoneticPr fontId="18" type="noConversion"/>
  </si>
  <si>
    <t>엑셀</t>
    <phoneticPr fontId="18" type="noConversion"/>
  </si>
  <si>
    <t>복리후생관리</t>
    <phoneticPr fontId="18" type="noConversion"/>
  </si>
  <si>
    <t>version. 22.01.41</t>
    <phoneticPr fontId="18" type="noConversion"/>
  </si>
  <si>
    <t>^{인사문서}^ 작성</t>
    <phoneticPr fontId="18" type="noConversion"/>
  </si>
  <si>
    <t xml:space="preserve">^{인사활동}^의 경우 ^{팀}^ ^{담당자2}^가 ^{주기}^때 각 팀별 필요인원을 집계한 뒤 ^{시스템}^를 이용하여 ^{인사문서}^를 작성하고 ^{팀}^ ^{담당자}^에 전달한다. </t>
    <phoneticPr fontId="18" type="noConversion"/>
  </si>
  <si>
    <t>인사계획</t>
    <phoneticPr fontId="18" type="noConversion"/>
  </si>
  <si>
    <t>채용</t>
    <phoneticPr fontId="18" type="noConversion"/>
  </si>
  <si>
    <t>채용요청서 승인</t>
    <phoneticPr fontId="18" type="noConversion"/>
  </si>
  <si>
    <t>퇴직급여 서브프로세스</t>
    <phoneticPr fontId="18" type="noConversion"/>
  </si>
  <si>
    <t>채용품의서 승인</t>
    <phoneticPr fontId="18" type="noConversion"/>
  </si>
  <si>
    <t>채용 공고 및 확정</t>
    <phoneticPr fontId="18" type="noConversion"/>
  </si>
  <si>
    <t>부서이동, 퇴사</t>
    <phoneticPr fontId="18" type="noConversion"/>
  </si>
  <si>
    <t>평가</t>
    <phoneticPr fontId="18" type="noConversion"/>
  </si>
  <si>
    <t>인사평가 목표수립</t>
    <phoneticPr fontId="18" type="noConversion"/>
  </si>
  <si>
    <t>인사평가</t>
    <phoneticPr fontId="18" type="noConversion"/>
  </si>
  <si>
    <t>승급추천서 작성</t>
    <phoneticPr fontId="18" type="noConversion"/>
  </si>
  <si>
    <t>승진자 확정</t>
    <phoneticPr fontId="18" type="noConversion"/>
  </si>
  <si>
    <t>인사변경품의서</t>
    <phoneticPr fontId="18" type="noConversion"/>
  </si>
  <si>
    <t>인사변경사항 입력</t>
    <phoneticPr fontId="18" type="noConversion"/>
  </si>
  <si>
    <t>인사마스터 접근제한</t>
    <phoneticPr fontId="18" type="noConversion"/>
  </si>
  <si>
    <t>인사마스터 변경 모니터링</t>
    <phoneticPr fontId="18" type="noConversion"/>
  </si>
  <si>
    <t>채용 및 인사평가</t>
    <phoneticPr fontId="18" type="noConversion"/>
  </si>
  <si>
    <t>연차관리</t>
    <phoneticPr fontId="18" type="noConversion"/>
  </si>
  <si>
    <t>초과근로관리 본사</t>
    <phoneticPr fontId="18" type="noConversion"/>
  </si>
  <si>
    <t>연장근로관리</t>
    <phoneticPr fontId="18" type="noConversion"/>
  </si>
  <si>
    <t>연차 신청</t>
    <phoneticPr fontId="18" type="noConversion"/>
  </si>
  <si>
    <t>연차 승인</t>
    <phoneticPr fontId="18" type="noConversion"/>
  </si>
  <si>
    <t>연차내역관리</t>
    <phoneticPr fontId="18" type="noConversion"/>
  </si>
  <si>
    <t>연차수당 지급 품의서 승인</t>
    <phoneticPr fontId="18" type="noConversion"/>
  </si>
  <si>
    <t>미연차수당 회계처리 승인</t>
    <phoneticPr fontId="18" type="noConversion"/>
  </si>
  <si>
    <t>초과근로신청서 작성</t>
    <phoneticPr fontId="18" type="noConversion"/>
  </si>
  <si>
    <t>초과근로수당 계산</t>
    <phoneticPr fontId="18" type="noConversion"/>
  </si>
  <si>
    <t>자금 프로세스</t>
    <phoneticPr fontId="18" type="noConversion"/>
  </si>
  <si>
    <t>급여관리 서브프로세스</t>
    <phoneticPr fontId="18" type="noConversion"/>
  </si>
  <si>
    <t>근무시간 입력</t>
    <phoneticPr fontId="18" type="noConversion"/>
  </si>
  <si>
    <t>근무시간 승인</t>
    <phoneticPr fontId="18" type="noConversion"/>
  </si>
  <si>
    <t>급여 월 마감</t>
    <phoneticPr fontId="18" type="noConversion"/>
  </si>
  <si>
    <t>급여 계산및 지급</t>
    <phoneticPr fontId="18" type="noConversion"/>
  </si>
  <si>
    <t>성과급 계산 및 지급</t>
    <phoneticPr fontId="18" type="noConversion"/>
  </si>
  <si>
    <t>주식선택권 계산 및 인식</t>
    <phoneticPr fontId="18" type="noConversion"/>
  </si>
  <si>
    <t>인사변경사항의 입력(마스터관리동일한 절차)</t>
    <phoneticPr fontId="18" type="noConversion"/>
  </si>
  <si>
    <t>전표작성</t>
    <phoneticPr fontId="18" type="noConversion"/>
  </si>
  <si>
    <t>지출결의서 작성</t>
    <phoneticPr fontId="18" type="noConversion"/>
  </si>
  <si>
    <t>개인별 성과급 계산</t>
    <phoneticPr fontId="18" type="noConversion"/>
  </si>
  <si>
    <t>주식선택권 평가보고서 수령</t>
    <phoneticPr fontId="18" type="noConversion"/>
  </si>
  <si>
    <t>주식선택권 평가보고서 검증</t>
    <phoneticPr fontId="18" type="noConversion"/>
  </si>
  <si>
    <t>재무보고 프로세스</t>
    <phoneticPr fontId="18" type="noConversion"/>
  </si>
  <si>
    <t>계리보고서 자료 송부</t>
    <phoneticPr fontId="18" type="noConversion"/>
  </si>
  <si>
    <t>계리보고서 정확성 검토</t>
    <phoneticPr fontId="18" type="noConversion"/>
  </si>
  <si>
    <t>전표 작성</t>
    <phoneticPr fontId="18" type="noConversion"/>
  </si>
  <si>
    <t>사외적립자산 평가</t>
    <phoneticPr fontId="18" type="noConversion"/>
  </si>
  <si>
    <t>보험계리보고서</t>
    <phoneticPr fontId="18" type="noConversion"/>
  </si>
  <si>
    <t>퇴직급 지금</t>
    <phoneticPr fontId="18" type="noConversion"/>
  </si>
  <si>
    <t>사직원 제출</t>
    <phoneticPr fontId="18" type="noConversion"/>
  </si>
  <si>
    <t>퇴직발령처리</t>
    <phoneticPr fontId="18" type="noConversion"/>
  </si>
  <si>
    <t>전표작성 및 승인</t>
    <phoneticPr fontId="18" type="noConversion"/>
  </si>
  <si>
    <t>퇴직급 지급</t>
    <phoneticPr fontId="18" type="noConversion"/>
  </si>
  <si>
    <t>퇴직급 계산</t>
    <phoneticPr fontId="18" type="noConversion"/>
  </si>
  <si>
    <t>퇴직급여 및 복리후생 관리</t>
    <phoneticPr fontId="18" type="noConversion"/>
  </si>
  <si>
    <t>복리후생 신청 품의서 작성</t>
    <phoneticPr fontId="18" type="noConversion"/>
  </si>
  <si>
    <t>복리후생 신청 품의서 승인</t>
    <phoneticPr fontId="18" type="noConversion"/>
  </si>
  <si>
    <t>복리후생비 지급</t>
    <phoneticPr fontId="18" type="noConversion"/>
  </si>
  <si>
    <t>퇴직보험예치금 불입</t>
    <phoneticPr fontId="18" type="noConversion"/>
  </si>
  <si>
    <t>&lt;3-1&gt;</t>
    <phoneticPr fontId="18" type="noConversion"/>
  </si>
  <si>
    <t>&lt;3-2&gt;</t>
    <phoneticPr fontId="18" type="noConversion"/>
  </si>
  <si>
    <t>&lt;3-3&gt;</t>
    <phoneticPr fontId="18" type="noConversion"/>
  </si>
  <si>
    <t>1)</t>
    <phoneticPr fontId="18" type="noConversion"/>
  </si>
  <si>
    <t>2)</t>
    <phoneticPr fontId="18" type="noConversion"/>
  </si>
  <si>
    <t>3)</t>
    <phoneticPr fontId="18" type="noConversion"/>
  </si>
  <si>
    <t>4)</t>
    <phoneticPr fontId="18" type="noConversion"/>
  </si>
  <si>
    <t>1) "채용 및 인사평가" 프로세스에서 인사변경사항의 입력 프로세스에서 이 곳으로 연결</t>
    <phoneticPr fontId="18" type="noConversion"/>
  </si>
  <si>
    <t xml:space="preserve">2) 고정급, 수당에 대해서 입사시, 급여변동시, 입사시, 퇴사시 xxx 담당자는 인사팀 담당자에게 이메일로 인원변동자료 및 인사정보변동내역을 전달하며, 인사팀 담당자는 해당 변동내역을 검토 후 급여계산 프로그램에 반영한다. </t>
    <phoneticPr fontId="18" type="noConversion"/>
  </si>
  <si>
    <t xml:space="preserve">2) 연차수당에 대해서는 매월말 e-hr 잔여연차현황을 토대로 인사팀 담당자가 엑셀파일을 작성하며 해당 내역을 e-hr에 업로드한다. </t>
    <phoneticPr fontId="18" type="noConversion"/>
  </si>
  <si>
    <t xml:space="preserve">2) 원천세 등 공제액에 대해서는 매월말 XXX 담당자가 공제액 엑셀파일과 증빙을 대사 후 e-hr에 입력하며 인사팀 담당자는 e-hr과 엑셀파일을 비교하여 적절하게 반영되었는지 검토한다. </t>
    <phoneticPr fontId="18" type="noConversion"/>
  </si>
  <si>
    <t xml:space="preserve">2) 원천세 등 공제액에 대해서는 매월말 e-hr에서 자동으로 공제액을 계산되어 입력되며, 인사팀 담당자는 e-hr과 증빙을 비교하여 적절하게 반영되었는지 검토한다. </t>
    <phoneticPr fontId="18" type="noConversion"/>
  </si>
  <si>
    <t xml:space="preserve">2) 연차수당에 대해서는 매월말 인사팀 담당자가 e-hr에서 인사정보를 다운로드하여 엑셀을 이용해 개인별 연차수당을 계산한다. </t>
    <phoneticPr fontId="18" type="noConversion"/>
  </si>
  <si>
    <t>2) 연차수당에 대해서는 매월말 인사팀 담당자가 e-hr에서 인사정보를 검토 후, 이상이 없을 경우 자동으로 개인별 연차수당이 계산된다. (자동통제)</t>
    <phoneticPr fontId="18" type="noConversion"/>
  </si>
  <si>
    <t>2) 고정급, 수당, 상여, 공제액 등을 인사팀 담당자가 매월말 e-hr에 입력하면 자동으로 급여대장이 작성된다.</t>
    <phoneticPr fontId="18" type="noConversion"/>
  </si>
  <si>
    <t xml:space="preserve">2) 고정급, 수당, 상여, 공제액 등을 인사팀 담당자가 엑셀에 입력하여 급여대장을 생성한다. </t>
    <phoneticPr fontId="18" type="noConversion"/>
  </si>
  <si>
    <t>HRIS시스템</t>
    <phoneticPr fontId="18" type="noConversion"/>
  </si>
  <si>
    <t>급여대장접근권한</t>
    <phoneticPr fontId="18" type="noConversion"/>
  </si>
  <si>
    <t xml:space="preserve">e-hr </t>
    <phoneticPr fontId="18" type="noConversion"/>
  </si>
  <si>
    <t>오라클</t>
    <phoneticPr fontId="18" type="noConversion"/>
  </si>
  <si>
    <t xml:space="preserve">2-c) 회계팀 담당자는 매월말/매분기 인사팀 담당자가 계산한 연차수당계산파일을 수령하여, 수식의 정확성 및 연차수당계산파일에 사용된 기초 data의 정확성 및 완전성을 검증한다. </t>
    <phoneticPr fontId="18" type="noConversion"/>
  </si>
  <si>
    <t xml:space="preserve">2-c) 회계팀 담당자는 매월말/매분기 e-hr에서 자동으로 계산된 연차수당계산내역을 검토하여, 계산의 정확성 및 연차수당계산에 사용된 기초 data의 정확성 및 완전성을 검증한다. </t>
    <phoneticPr fontId="18" type="noConversion"/>
  </si>
  <si>
    <t xml:space="preserve">2) 인사팀 담당자는 급여대장을 바탕으로 급여집계표를 작성하며 인사팀장이 이를 검토 후 최종 확정한다. </t>
    <phoneticPr fontId="18" type="noConversion"/>
  </si>
  <si>
    <t>2-c) 급여대장의 접근 및 수정 권한은 xxx 담당자 및 xx 팀장에게만 주어진다. (접근권한)</t>
    <phoneticPr fontId="18" type="noConversion"/>
  </si>
  <si>
    <t>급여계산(고정급, 수당, 원천세, 연차수당, 성과급)</t>
    <phoneticPr fontId="18" type="noConversion"/>
  </si>
  <si>
    <t>아웃소싱할 경우</t>
    <phoneticPr fontId="18" type="noConversion"/>
  </si>
  <si>
    <t xml:space="preserve">2) 인사 담당자는 개인별 성과급 지급률에 대해 각각 조직별 지급률 , 조직별 개인업적평가 기준 지급률 등을 계산하여 인사담당임원의 승인을 득한다. </t>
    <phoneticPr fontId="18" type="noConversion"/>
  </si>
  <si>
    <t xml:space="preserve">2) 개인별 성과급 지급률은 인사위원회 결의를 거친 후 확정된다. </t>
    <phoneticPr fontId="18" type="noConversion"/>
  </si>
  <si>
    <t xml:space="preserve">4) 인사팀 담당자는 인사팀장으로부터 승인을 득한 급여집계표/급여대장을 첨부하여 급여지급품의서를 작성하여 그룹웨어를 통해 기안을 올린다. </t>
    <phoneticPr fontId="18" type="noConversion"/>
  </si>
  <si>
    <t>&lt;아웃소싱할 경우&gt;</t>
    <phoneticPr fontId="18" type="noConversion"/>
  </si>
  <si>
    <t xml:space="preserve">6) 아웃소싱업체는 월 급여 작업을 완료하면 해당 파일을 회사 인사팀 급여 담당자에게 메일/아웃소싱업체홈페이지 를 통해 전달한다. </t>
    <phoneticPr fontId="18" type="noConversion"/>
  </si>
  <si>
    <t xml:space="preserve">6) 회사는 급여 업무를 외부 아웃소싱업체에 위탁하고 있으며, 직원들의 기본급여와 차감사항 등을 합산해 총 월 급여를 산출하여 XXX(외부 아웃소싱업체)에 급여파일을 이메일을 통해/ 아웃소싱업체홈피이지를 통해 전달한다.  </t>
    <phoneticPr fontId="18" type="noConversion"/>
  </si>
  <si>
    <t>E-branch</t>
    <phoneticPr fontId="18" type="noConversion"/>
  </si>
  <si>
    <t>wincms</t>
    <phoneticPr fontId="18" type="noConversion"/>
  </si>
  <si>
    <t>6-C) 인사팀장은 아웃소싱업체로부터 받은 급여계산내역을 수령하여, 수식의 정확성 및 회사가 아웃소싱업체에 전달한 인사 기초 DATA의 정확성 및 완전성을 검증한다.</t>
    <phoneticPr fontId="18" type="noConversion"/>
  </si>
  <si>
    <t>7) 재무팀 담당자는 e-branch에 급여 대량이체가 등록되면 급여집계표상 금액과 e-hr상 은행별 지급액이 일치하는지 대사한다.</t>
    <phoneticPr fontId="18" type="noConversion"/>
  </si>
  <si>
    <t>7) 재무팀장이 최종 이체승인을 하면 대량 이체가 실행된다.</t>
    <phoneticPr fontId="18" type="noConversion"/>
  </si>
  <si>
    <t>&gt;</t>
    <phoneticPr fontId="18" type="noConversion"/>
  </si>
  <si>
    <t>&lt;시스템&gt;</t>
    <phoneticPr fontId="18" type="noConversion"/>
  </si>
  <si>
    <t>**작성할 때 애경산업을 주로 반영하지만 나머지 3개 사례도 띄어놓고 부족한 부분도 채워넣는 방식으로 작성하였습니다.</t>
    <phoneticPr fontId="18" type="noConversion"/>
  </si>
  <si>
    <t>2) 개인 성과급은 매년 XX 담당자가 개인별 상/하반기 핵심성과지표에 따른 업적고과를 평가하여 기준지급률에 따라 성과급을 지급한다.</t>
    <phoneticPr fontId="18" type="noConversion"/>
  </si>
  <si>
    <t>원천세&gt;</t>
    <phoneticPr fontId="18" type="noConversion"/>
  </si>
  <si>
    <t>연차수당&gt;</t>
    <phoneticPr fontId="18" type="noConversion"/>
  </si>
  <si>
    <t>2) 고정급, 수당에 대해서 입사시, 급여변동시 인사팀 담당자가 급여 마스터파일을 변경하면 자동으로 e-hr에 반영된다.</t>
    <phoneticPr fontId="18" type="noConversion"/>
  </si>
  <si>
    <t>2) 고정급, 수당에 대해서 입사시, 급여변동시 인사팀 담당자가 급여 마스터파일을 변경하면 인사팀 담당자가 변경사항을 급여계산 프로그램에 수기로 반영한다.</t>
    <phoneticPr fontId="18" type="noConversion"/>
  </si>
  <si>
    <t>2) 고정급, 수당에 대해서 입사시, 급여변동시 인사팀 담당자가 급여 마스터파일을 변경하면 인사팀 담당자가 변경사항을 급여계산 엑셀파일에 수기로 반영한다.</t>
    <phoneticPr fontId="18" type="noConversion"/>
  </si>
  <si>
    <t>인사변경사항의 입력(마스터관리동일한 절차-sub1에 반영됨)</t>
    <phoneticPr fontId="18" type="noConversion"/>
  </si>
  <si>
    <t>2-c) 인사팀장은 매월 인사팀 담당자가 작성한 급여집계표에서 전월 대비 변동내역, 특이사항, OT변화, 지급금액 등의 적정성을 검토 후 승인한다.</t>
    <phoneticPr fontId="18" type="noConversion"/>
  </si>
  <si>
    <t>2-c) 인사팀장은 인사팀 담당자가 작성한 급여 전표를 급여집계표와 대사하여 전표에 작성된 금액의 적정성을 검토 후 해당 전표를 승인한다.</t>
    <phoneticPr fontId="18" type="noConversion"/>
  </si>
  <si>
    <t>2) 인사담당자는 인사관리 시스템에서 기준일 현재 재직한 직원 중 급여 대상자를 확정하고 대상자별 근태예외, 직군변경 등의 내용을 인사발령처리내역을 확인하여 월급여지급액을 확정한다.</t>
    <phoneticPr fontId="18" type="noConversion"/>
  </si>
  <si>
    <t>개인성과급&gt;</t>
    <phoneticPr fontId="18" type="noConversion"/>
  </si>
  <si>
    <t>명절상여&gt;</t>
    <phoneticPr fontId="18" type="noConversion"/>
  </si>
  <si>
    <t>2) 인사 담당자는 명절이 속하는 월에 개인별 기본급에 따라 추석/설 상여를 엑셀로 별도 계산하여 E-HR에 반영한다.</t>
    <phoneticPr fontId="18" type="noConversion"/>
  </si>
  <si>
    <t xml:space="preserve">2) 급여 계산 산식 및 공제금액 산식은 급여규정에 따라 인사관리 시스템에 프로그램화 되어 있다. </t>
    <phoneticPr fontId="18" type="noConversion"/>
  </si>
  <si>
    <t>애경 성과급 정책&gt;&gt;</t>
    <phoneticPr fontId="18" type="noConversion"/>
  </si>
  <si>
    <t>회사의 상여는 추석/설 상여, 개인 성과급으로 구성된다.</t>
    <phoneticPr fontId="18" type="noConversion"/>
  </si>
  <si>
    <t>추석, 설 상여: 매년 임금조정 내역을 바탕으로 책정된 개인별 계약호봉을 기준으로 월급여와 구분하여 지급되며, 생산직만 지급된다.</t>
    <phoneticPr fontId="18" type="noConversion"/>
  </si>
  <si>
    <t>개인 성과급: 매년 개인별 상/하반기 핵심성과지표에 따른 업적고과를 평가하여 기준지급률에 따라 성과급을 지급한다.</t>
    <phoneticPr fontId="18" type="noConversion"/>
  </si>
  <si>
    <t>급여 전표의 승인&gt;</t>
    <phoneticPr fontId="18" type="noConversion"/>
  </si>
  <si>
    <t>급여 지출결의서 승인&gt;</t>
    <phoneticPr fontId="18" type="noConversion"/>
  </si>
  <si>
    <t>급여대장 접근제한&gt;&gt;</t>
    <phoneticPr fontId="18" type="noConversion"/>
  </si>
  <si>
    <t xml:space="preserve">4-C) 재무팀 회계담당자는 매월 인사팀에서 작성한 급여지급품의서(급여지출결의서) 및 급여집계표와 인사 담당자가 작성하여 인사팀장의 승인을 받은 급여전표가 일치하는지 대사 후 그룹웨어에서 인사팀 담당자가 작성한 급여지급품의서(급여지출결의서)를 승인한다. </t>
    <phoneticPr fontId="18" type="noConversion"/>
  </si>
  <si>
    <t>성과급 지출결의서 승인&gt;&gt;</t>
    <phoneticPr fontId="18" type="noConversion"/>
  </si>
  <si>
    <t>3-C) 대표이사는 반기마다 인사담당자가 개인별 지급률을 적용하여 계산한 개인별 성과금 지급액에 대하여 전반기 대비 직급별 금액 및 적절한 기간에 귀속되었는지 여부 등을 검토 후 승인한다.</t>
    <phoneticPr fontId="18" type="noConversion"/>
  </si>
  <si>
    <t>&lt;3-1&gt; 급여 계산 및 지급</t>
    <phoneticPr fontId="18" type="noConversion"/>
  </si>
  <si>
    <t>&lt;3-2&gt; 성과급 계산 및 지급</t>
    <phoneticPr fontId="18" type="noConversion"/>
  </si>
  <si>
    <t>&lt;3-3&gt; 주식보상선택권</t>
    <phoneticPr fontId="18" type="noConversion"/>
  </si>
  <si>
    <t>아웃소싱업체시 통제&gt;</t>
    <phoneticPr fontId="18" type="noConversion"/>
  </si>
  <si>
    <t>가치평가보고서 통제&gt;</t>
    <phoneticPr fontId="18" type="noConversion"/>
  </si>
  <si>
    <t>(체크리스트 제공?)</t>
    <phoneticPr fontId="18" type="noConversion"/>
  </si>
  <si>
    <t>2-C) 주식보상선택권 최초 부여시 재무팀 회계담당자는 체크리스트를 통해 가치평가보고서상 금액의 적정성을 검증하고 문서화한 후 재무팀장의 승인을 득한다.</t>
    <phoneticPr fontId="18" type="noConversion"/>
  </si>
  <si>
    <t>전표 승인 통제&gt;</t>
    <phoneticPr fontId="18" type="noConversion"/>
  </si>
  <si>
    <t>자금프로세스&gt;&gt;&gt;&gt;</t>
    <phoneticPr fontId="18" type="noConversion"/>
  </si>
  <si>
    <t>&lt;4-1&gt;</t>
    <phoneticPr fontId="18" type="noConversion"/>
  </si>
  <si>
    <t>&lt;4-2&gt;</t>
    <phoneticPr fontId="18" type="noConversion"/>
  </si>
  <si>
    <t>&lt;4-3&gt;</t>
    <phoneticPr fontId="18" type="noConversion"/>
  </si>
  <si>
    <t>예시&gt;&gt;</t>
    <phoneticPr fontId="18" type="noConversion"/>
  </si>
  <si>
    <t>5)</t>
    <phoneticPr fontId="18" type="noConversion"/>
  </si>
  <si>
    <t>6)</t>
    <phoneticPr fontId="18" type="noConversion"/>
  </si>
  <si>
    <t>1) 인사담당자는 매년 계리평가법인에 자료를 송부할 때 장기종업원급여와 관련된 자료도 함께 제출한다.</t>
    <phoneticPr fontId="18" type="noConversion"/>
  </si>
  <si>
    <t>control&gt;&gt;</t>
    <phoneticPr fontId="18" type="noConversion"/>
  </si>
  <si>
    <t>control 2)</t>
    <phoneticPr fontId="18" type="noConversion"/>
  </si>
  <si>
    <t>**계리평가보고서 체크리스트 제공 필요</t>
    <phoneticPr fontId="18" type="noConversion"/>
  </si>
  <si>
    <t>1) 인사담당자는 매년 계리평가보고서 신청 양식에 맞추어 기산일, 평균임금, 추계액, 임직원 여부를 작성하고 E-HR상 인별 입사일, 퇴사일, 월정급여, 상여 등의 자료를 Excel 형식으로 다운받아 모든 인원이 포함되어 있는지 여부를 검토한 후 해당 내용에 대하여 계리평가법인으로 송부한다.</t>
    <phoneticPr fontId="18" type="noConversion"/>
  </si>
  <si>
    <t>1) 인사담당자는 매년 계리평가보고서 신청 양식에 맞추어 기산일, 평균임금, 추계액, 임직원 여부를 작성하고 인별 입사일, 퇴사일, 월정급여, 상여 등의 자료를 확인하여 모든 인원이 포함되어 있는지 여부를 검토한 후 해당 내용에 대하여 계리평가법인으로 송부한다.</t>
    <phoneticPr fontId="18" type="noConversion"/>
  </si>
  <si>
    <t>3) 인사급여 담당자는 계리법인으로부터 수령한 계리평가보고서 내역을 재무팀에 공유하고, 재무팀에서 SAP에 전표를 작성한다.   --&gt; 재무보고 프로세스 연결</t>
    <phoneticPr fontId="18" type="noConversion"/>
  </si>
  <si>
    <t>2) 재무팀 퇴직급여 담당자는 계리평가법인으로부터 수령한 계리평가보고서에서 사용된 가정, 할인율, 회사 정책 및 기초 데이터가 적절하며 계산 수식이 정확한지 체크리스트에 따라 검토하고 재무팀장의 승인을 득한다.</t>
    <phoneticPr fontId="18" type="noConversion"/>
  </si>
  <si>
    <t>4) 회사는 확정급여형퇴직연금제도(DB)를 운영하고 있다.</t>
    <phoneticPr fontId="18" type="noConversion"/>
  </si>
  <si>
    <t>4) 회사는 확정기여형퇴직연금제도(DC)를 운영하고 있다.</t>
    <phoneticPr fontId="18" type="noConversion"/>
  </si>
  <si>
    <t>4) 퇴직연금은 연 1회 연말에 불입한다.</t>
    <phoneticPr fontId="18" type="noConversion"/>
  </si>
  <si>
    <t>4) 퇴직보험 예치 대상 금액은 매년 말 퇴직급여 담당자가 퇴직급여충당금과 일치하도록 수기로 엑셀 작성하여 결정되고 취합된 자료를 재무팀으로 전달한다.</t>
    <phoneticPr fontId="18" type="noConversion"/>
  </si>
  <si>
    <t>4) 퇴직연금 담당자는 대표이사와 상의하여 퇴직연금 부보처와 부보금액을 정한 후, 해당 내용을 바탕으로 사외적립자산 불입 기안서를 작성하여 전결권장의 승인을 얻는다.</t>
    <phoneticPr fontId="18" type="noConversion"/>
  </si>
  <si>
    <t>4) 재무팀 퇴직급여 담당자는 회계장부와 재정검증결과 시뮬레이션 자료(연금사 수취)를 기준으로 불입액 보고서를 작성하여 그룹웨어로 재무팀장, 부문장, 대표이사 승인을 득한 후 불입한다.</t>
    <phoneticPr fontId="18" type="noConversion"/>
  </si>
  <si>
    <t>5) 자금담당자는 매 분기말 보험회사로부터 수령한 퇴직연금 운용보고서와 총계정원장의 확정급여부채 및 사외적립자산 금액이 일치하는지 대사한다.</t>
    <phoneticPr fontId="18" type="noConversion"/>
  </si>
  <si>
    <t>1) 퇴직예정자는 퇴직예정일 30일 전에 사직원 관련 서류(사직서, 개인정보 수집 및 이용 동의서, 정보보호서약서, 퇴직자 체크리스트 등)를 작성하여 인사팀에 제출함을 원칙으로 한다.</t>
    <phoneticPr fontId="18" type="noConversion"/>
  </si>
  <si>
    <t>1) 퇴직예정자는 소속 부서장과의 면담 후 사직서에 의견을 기재하고 위임전결규정에 따라 승인을 득한 다음, 승인한 사직서를 인사팀 퇴직 담당자에게 송부한다.</t>
    <phoneticPr fontId="18" type="noConversion"/>
  </si>
  <si>
    <t>1) 인사팀 퇴직 담당자는 각 부서로부터 통보받은 사직원에 대해 인사발령 품의를 작성하여 인사팀 승인권자의 승인을 득한다.</t>
    <phoneticPr fontId="18" type="noConversion"/>
  </si>
  <si>
    <t>control??&gt;&gt;</t>
    <phoneticPr fontId="18" type="noConversion"/>
  </si>
  <si>
    <t>2) 인사 담당자는 매월 임직원현황을 업데이트한다.</t>
    <phoneticPr fontId="18" type="noConversion"/>
  </si>
  <si>
    <t>2) 인사팀 퇴직 담당자는 승인을 득한 퇴직발령 대상자에 대해 인사관리 시스템에 퇴직일자를 입력하고 퇴직발령처리를 하여 재직구분을 퇴직으로 변경한다.</t>
    <phoneticPr fontId="18" type="noConversion"/>
  </si>
  <si>
    <t xml:space="preserve">3) 퇴직발령이 이루어지면 인사팀 담당자가 E-HR에 입력된 인사정보를 기초로 하여 평균임금을 산정하고 퇴직금지급율(일수)를 곱하여 엑셀을 통해 퇴직금을 계산한다. </t>
    <phoneticPr fontId="18" type="noConversion"/>
  </si>
  <si>
    <t>3) 인사팀장은 퇴직금 지급시 인사팀 담당자가 계산한 퇴직금 계산내역에 사용된 데이터가 인사시스템에 있는 데이터와 일치하는 지 여부, 급여시스템에 있는 데이터와 일치하는지 여부, 평균일급 금액의 정확성, 지급일수의 정확성, 퇴직금액의 정확성을 검증한다.</t>
    <phoneticPr fontId="18" type="noConversion"/>
  </si>
  <si>
    <t>3) 인사팀장은 퇴직금 지급시 인사팀 담당자가 인사/급여 정보를 기초로 작성한 퇴직금산정내역 품의서를 검토하여 계산 내역의 적정성을 검토 후 승인한다.</t>
    <phoneticPr fontId="18" type="noConversion"/>
  </si>
  <si>
    <t>5) 인사팀 퇴직급여 담당자는 퇴직소득원천징수영수증과 지급요청서를 퇴직연금 운용사에 송부하여 퇴직 직원의 퇴직연금 집행을 요청한다.</t>
    <phoneticPr fontId="18" type="noConversion"/>
  </si>
  <si>
    <t xml:space="preserve">4) 인사팀 퇴직급여 담당자는 승인받은 퇴직급여지급품의서를 바탕으로 전표를 작성하여 인사팀장의 승인을 득한다. </t>
    <phoneticPr fontId="18" type="noConversion"/>
  </si>
  <si>
    <t>4) 재무팀 회계담당자는 승인된 퇴직급여지급품의서와 퇴직금 전표의 일치여부를 검토 후 SAP에서 퇴직금 전표를 승인한다.</t>
    <phoneticPr fontId="18" type="noConversion"/>
  </si>
  <si>
    <t>control &gt;&gt;</t>
    <phoneticPr fontId="18" type="noConversion"/>
  </si>
  <si>
    <t>1) 회사는 의료비, 학자금지원, 주택자금대출, 긴급자금대출, 복지카드 등의 복리후생을 제공하고 있다.</t>
    <phoneticPr fontId="18" type="noConversion"/>
  </si>
  <si>
    <t>(드롭다운으로)control&gt;&gt;</t>
    <phoneticPr fontId="18" type="noConversion"/>
  </si>
  <si>
    <t>드롭다운으로? 질문서에서 걸러주기</t>
    <phoneticPr fontId="18" type="noConversion"/>
  </si>
  <si>
    <r>
      <t>((성과급의 경우, 각 회사의 정책에 따라 상이할 것 같은데 어떤 식으로 적을까요?</t>
    </r>
    <r>
      <rPr>
        <b/>
        <sz val="11"/>
        <color rgb="FFFF0000"/>
        <rFont val="맑은 고딕"/>
        <family val="3"/>
        <charset val="129"/>
        <scheme val="minor"/>
      </rPr>
      <t xml:space="preserve">  (질문서에서 걸러내기)</t>
    </r>
    <phoneticPr fontId="18" type="noConversion"/>
  </si>
  <si>
    <t>1) 회사가 임직원에게 제공한 주식선택권 대상 주식은 당사의 보통주이며, 부여일 현재의 공정가치는 주식선택권 최초 부여시 외부 평가기관에 의뢰하여 독립적으로 산정된다.</t>
    <phoneticPr fontId="18" type="noConversion"/>
  </si>
  <si>
    <t xml:space="preserve">1) 복지카드는 직원들에게 1년에 총 120만 포인트씩 일괄적으로 지급된다. </t>
    <phoneticPr fontId="18" type="noConversion"/>
  </si>
  <si>
    <t>질문서에서 걸러주기</t>
    <phoneticPr fontId="18" type="noConversion"/>
  </si>
  <si>
    <t>1) 의료비, 학자금지원, 주택자금자금대출, 긴급자금대출 등 복리후생비는 현업에서 신청자가 필요서류를 첨부하여 그룹웨어를 통해 복리후생신청품의서를 작성하여 신청한다.</t>
    <phoneticPr fontId="18" type="noConversion"/>
  </si>
  <si>
    <t>2) 인사팀장은 신청자가 작성한 복리후생신청품의서 내용이 회사가 규정한 수혜기준에 부합하는지 검토 후 이를 승인한다.</t>
    <phoneticPr fontId="18" type="noConversion"/>
  </si>
  <si>
    <t>control&gt;</t>
    <phoneticPr fontId="18" type="noConversion"/>
  </si>
  <si>
    <t>2) 별도의 전결권자 승인이 필요하지 않은 의료비, 학자금지원, 복지카드 등의 복리후생은 신청자가 그룹웨어를 통해 신청서를 작성하고 인사팀 담당자가 확인 후 승인한다.</t>
    <phoneticPr fontId="18" type="noConversion"/>
  </si>
  <si>
    <t>급여관리</t>
    <phoneticPr fontId="18" type="noConversion"/>
  </si>
  <si>
    <t>HR</t>
    <phoneticPr fontId="18" type="noConversion"/>
  </si>
  <si>
    <t>제조업</t>
    <phoneticPr fontId="18" type="noConversion"/>
  </si>
  <si>
    <t>계산&gt;&gt;</t>
    <phoneticPr fontId="18" type="noConversion"/>
  </si>
  <si>
    <t>고정급, 수당 입력&gt;</t>
    <phoneticPr fontId="18" type="noConversion"/>
  </si>
  <si>
    <t>processname3</t>
    <phoneticPr fontId="18" type="noConversion"/>
  </si>
  <si>
    <t>processexplain3</t>
    <phoneticPr fontId="18" type="noConversion"/>
  </si>
  <si>
    <t>입사시</t>
    <phoneticPr fontId="18" type="noConversion"/>
  </si>
  <si>
    <t>퇴사시</t>
    <phoneticPr fontId="18" type="noConversion"/>
  </si>
  <si>
    <t>급여변동시</t>
    <phoneticPr fontId="18" type="noConversion"/>
  </si>
  <si>
    <t>processname4</t>
    <phoneticPr fontId="18" type="noConversion"/>
  </si>
  <si>
    <t>processexplain4</t>
    <phoneticPr fontId="18" type="noConversion"/>
  </si>
  <si>
    <t>processname5</t>
    <phoneticPr fontId="18" type="noConversion"/>
  </si>
  <si>
    <t>processexplain5</t>
    <phoneticPr fontId="18" type="noConversion"/>
  </si>
  <si>
    <t>원천세 등 공제액 계산</t>
    <phoneticPr fontId="18" type="noConversion"/>
  </si>
  <si>
    <t>연차수당 계산</t>
    <phoneticPr fontId="18" type="noConversion"/>
  </si>
  <si>
    <t>급여대장 작성</t>
    <phoneticPr fontId="18" type="noConversion"/>
  </si>
  <si>
    <t>급여대장 승인</t>
    <phoneticPr fontId="18" type="noConversion"/>
  </si>
  <si>
    <t>급여집계표 승인</t>
    <phoneticPr fontId="18" type="noConversion"/>
  </si>
  <si>
    <t>급여 계산</t>
    <phoneticPr fontId="18" type="noConversion"/>
  </si>
  <si>
    <t>월급여지급액 확정</t>
    <phoneticPr fontId="18" type="noConversion"/>
  </si>
  <si>
    <t>급여 계산 및 지급</t>
    <phoneticPr fontId="18" type="noConversion"/>
  </si>
  <si>
    <t>개인 성과급 계산</t>
    <phoneticPr fontId="18" type="noConversion"/>
  </si>
  <si>
    <t>성과급 지급률 승인</t>
    <phoneticPr fontId="18" type="noConversion"/>
  </si>
  <si>
    <t>성과급 지급률 확정</t>
    <phoneticPr fontId="18" type="noConversion"/>
  </si>
  <si>
    <t xml:space="preserve">개인별 성과급 지급률은 인사위원회 결의를 거친 후 확정된다. </t>
    <phoneticPr fontId="18" type="noConversion"/>
  </si>
  <si>
    <t>주식보상선택권 계산 및 인식</t>
    <phoneticPr fontId="18" type="noConversion"/>
  </si>
  <si>
    <t>주식보상선택권 부여</t>
    <phoneticPr fontId="18" type="noConversion"/>
  </si>
  <si>
    <t>회사가 임직원에게 제공한 주식선택권 대상 주식은 당사의 보통주이며, 부여일 현재의 공정가치는 주식선택권 최초 부여시 외부 평가기관에 의뢰하여 독립적으로 산정된다.</t>
    <phoneticPr fontId="18" type="noConversion"/>
  </si>
  <si>
    <t>주식보상선택권 전표 작성</t>
    <phoneticPr fontId="18" type="noConversion"/>
  </si>
  <si>
    <t>v</t>
    <phoneticPr fontId="18" type="noConversion"/>
  </si>
  <si>
    <t xml:space="preserve">급여+수당/// 연차수당 </t>
    <phoneticPr fontId="18" type="noConversion"/>
  </si>
  <si>
    <t>3-C) 대표이사는 반기마다 인사위원회의 결의로 확정된 개인별 지급률을 적용하여 인사담당자가 계산한 개인별 성과급 지급액에 대하여 전반기 대비 직급별 금액 및 적절한 기간에 귀속되었는지 여부 등을 검토 후 승인한다.</t>
    <phoneticPr fontId="18" type="noConversion"/>
  </si>
  <si>
    <t>3) 재무팀 회계담당자는 매분기 주식기준보상 관련한 주주총회에서 결정된 부여수량, 행사가격 및 가득요건 등을 확인하여 약정 용역제공기간, 기대소멸율을 고려하여 보상원가를 인식하는 전표를 작성한다.</t>
    <phoneticPr fontId="18" type="noConversion"/>
  </si>
  <si>
    <t>3-C) 재무팀장은 매분기 재무팀 회계 담당자가 계산한 주식보상선택권 보상원가에 적용된 부여수량, 행사가격, 약정 용역제공기간, 기대소멸율이 적정한 지 검토 후, 전표를 승인한다.</t>
  </si>
  <si>
    <t>퇴직급여 및 복리후생관리</t>
    <phoneticPr fontId="18" type="noConversion"/>
  </si>
  <si>
    <t>퇴직운용자산 평가 및 인식</t>
    <phoneticPr fontId="18" type="noConversion"/>
  </si>
  <si>
    <t>장기종업원급여 원천 data 송부</t>
    <phoneticPr fontId="18" type="noConversion"/>
  </si>
  <si>
    <t>계리평가보고서 원천 data 송부</t>
    <phoneticPr fontId="18" type="noConversion"/>
  </si>
  <si>
    <t>계리평가보고서 수령</t>
    <phoneticPr fontId="18" type="noConversion"/>
  </si>
  <si>
    <t>N/A</t>
    <phoneticPr fontId="18" type="noConversion"/>
  </si>
  <si>
    <t>퇴직운용자산 운영</t>
    <phoneticPr fontId="18" type="noConversion"/>
  </si>
  <si>
    <t>계리평가보고서 전표 작성</t>
    <phoneticPr fontId="18" type="noConversion"/>
  </si>
  <si>
    <t xml:space="preserve">퇴직연금은 연 1회 연말에 불입한다. </t>
    <phoneticPr fontId="18" type="noConversion"/>
  </si>
  <si>
    <t>퇴직연금 운용보고서 수령</t>
    <phoneticPr fontId="18" type="noConversion"/>
  </si>
  <si>
    <t>사직원 관련 서류 제출</t>
    <phoneticPr fontId="18" type="noConversion"/>
  </si>
  <si>
    <t>사직서 제출</t>
    <phoneticPr fontId="18" type="noConversion"/>
  </si>
  <si>
    <t>퇴직금 계산</t>
    <phoneticPr fontId="18" type="noConversion"/>
  </si>
  <si>
    <t>퇴직연금 집행 요청</t>
    <phoneticPr fontId="18" type="noConversion"/>
  </si>
  <si>
    <t>퇴직금 지급전표 승인</t>
    <phoneticPr fontId="18" type="noConversion"/>
  </si>
  <si>
    <t>퇴직금 지급전표 작성</t>
    <phoneticPr fontId="18" type="noConversion"/>
  </si>
  <si>
    <t>퇴직금 지급관리</t>
    <phoneticPr fontId="18" type="noConversion"/>
  </si>
  <si>
    <t>복리후생 제공</t>
    <phoneticPr fontId="18" type="noConversion"/>
  </si>
  <si>
    <t>부적절한 인사계획</t>
    <phoneticPr fontId="18" type="noConversion"/>
  </si>
  <si>
    <t>채용관리</t>
    <phoneticPr fontId="18" type="noConversion"/>
  </si>
  <si>
    <t>processname1</t>
    <phoneticPr fontId="18" type="noConversion"/>
  </si>
  <si>
    <t>부적절한 채용요청서</t>
    <phoneticPr fontId="18" type="noConversion"/>
  </si>
  <si>
    <t>채용 공고 및 확정</t>
  </si>
  <si>
    <t>부적절한 채용품의서</t>
    <phoneticPr fontId="18" type="noConversion"/>
  </si>
  <si>
    <t>인사평가기준 업데이트</t>
    <phoneticPr fontId="18" type="noConversion"/>
  </si>
  <si>
    <t>임직원 평가내역 작성</t>
    <phoneticPr fontId="18" type="noConversion"/>
  </si>
  <si>
    <t>부적절한 인사평가기준</t>
    <phoneticPr fontId="18" type="noConversion"/>
  </si>
  <si>
    <t>인사평가내역 및 승급추천서에 따라 승진자가 확정된다.</t>
  </si>
  <si>
    <t>승진자 확정</t>
  </si>
  <si>
    <t>부적절한 인사변경품의서</t>
    <phoneticPr fontId="18" type="noConversion"/>
  </si>
  <si>
    <t>인사시스템에 인사변경사항 입력시 인사마스터상 필수정보가 입력되지 않을 경우 처리되지 않는다.</t>
  </si>
  <si>
    <t>인사마스터파일 접근제한</t>
    <phoneticPr fontId="18" type="noConversion"/>
  </si>
  <si>
    <t>부서이동 및 퇴사</t>
    <phoneticPr fontId="18" type="noConversion"/>
  </si>
  <si>
    <t>임직원 현황 업데이트</t>
    <phoneticPr fontId="18" type="noConversion"/>
  </si>
  <si>
    <t>…</t>
    <phoneticPr fontId="18" type="noConversion"/>
  </si>
  <si>
    <t>프로세스</t>
    <phoneticPr fontId="18" type="noConversion"/>
  </si>
  <si>
    <t>&lt;1-0&gt;</t>
    <phoneticPr fontId="18" type="noConversion"/>
  </si>
  <si>
    <t>컨트롤</t>
    <phoneticPr fontId="18" type="noConversion"/>
  </si>
  <si>
    <t>SOD/접근제한+AC</t>
    <phoneticPr fontId="18" type="noConversion"/>
  </si>
  <si>
    <t>&lt;1-1&gt;</t>
    <phoneticPr fontId="18" type="noConversion"/>
  </si>
  <si>
    <t>&lt;1-2&gt;</t>
    <phoneticPr fontId="18" type="noConversion"/>
  </si>
  <si>
    <t>&lt;1-3&gt;</t>
    <phoneticPr fontId="18" type="noConversion"/>
  </si>
  <si>
    <t>7)</t>
    <phoneticPr fontId="18" type="noConversion"/>
  </si>
  <si>
    <t>8)</t>
    <phoneticPr fontId="18" type="noConversion"/>
  </si>
  <si>
    <t xml:space="preserve">1) 인사팀 인사계획 담당자는 매년 각 팀별 필요 채용인원을 파악, 평가기준 업데이트, 부서이동 및 퇴사 인원을 고려하여 그룹웨어를 통해 인사계획을 작성하고 인사팀 팀장에 전달한다. </t>
    <phoneticPr fontId="18" type="noConversion"/>
  </si>
  <si>
    <t>c: 컨트롤</t>
    <phoneticPr fontId="18" type="noConversion"/>
  </si>
  <si>
    <t>1-c) 인사팀 팀장은 매년 그룹웨어로 전달받은 인사계획이 각 팀별 채용, 평가, 부서이동 및 퇴사 인원이 적절히 고려되어 작성되었는지 검토하고 승인한다.</t>
    <phoneticPr fontId="18" type="noConversion"/>
  </si>
  <si>
    <t>e: 예외사항</t>
    <phoneticPr fontId="18" type="noConversion"/>
  </si>
  <si>
    <t>1-e) 인사팀 팀장은 인사계획이 채용, 평가, 부서이동 및 퇴사 인원이 적절히 고려되어 계획되지 않았을 경우 인사팀 인사계획 담당자에게 재작성하도록 요청한다.</t>
    <phoneticPr fontId="18" type="noConversion"/>
  </si>
  <si>
    <t>a: 후행프로세스</t>
    <phoneticPr fontId="18" type="noConversion"/>
  </si>
  <si>
    <t>1-a) 승인받은 인사계획은 채용, 평가, 부서이동 및 퇴사 프로세스로 진행된다.</t>
    <phoneticPr fontId="18" type="noConversion"/>
  </si>
  <si>
    <t>1) 인사팀 채용 담당자는 인사계획에 따른 부서별 채용 인원 및 시기에 맞춰 그룹웨어를 통해 채용요청서를 작성하고 인사팀 팀장에 전달한다.</t>
    <phoneticPr fontId="18" type="noConversion"/>
  </si>
  <si>
    <t>1-c) 인사팀 팀장은 채용시기에 마다 그룹웨어로 전달받은 채용요청서가 인사계획 및 인사규정에 따라 적절히 작성되었는지 검증하고 승인한다.</t>
    <phoneticPr fontId="18" type="noConversion"/>
  </si>
  <si>
    <t>1-e) 인사팀 팀장은 채용요청서가 인사계획 및 인사규정에 따라 적정하게 작성되지 않았을 경우 인사팀 채용 담당자에게 재작성하도록 한다.</t>
    <phoneticPr fontId="18" type="noConversion"/>
  </si>
  <si>
    <t>1-a) 승인받은 채용요청서에 따라 채용공고가 진행된다.</t>
    <phoneticPr fontId="18" type="noConversion"/>
  </si>
  <si>
    <t>2) 인사팀 채용 담당자는 채용요청서가 승인된 후 회사 홈페이지, 채용사이트에 공고하거나 해드헌터에 요청한다.</t>
    <phoneticPr fontId="18" type="noConversion"/>
  </si>
  <si>
    <t>2) 인사팀 채용 담당자는 인사규정에 따라 지원자를 선정하며, 이력서에 기재한 사항 허위여부 검증을 위해 자격증사본, 경력증명서, 국민연금가입증명원 등을 확인한다.</t>
    <phoneticPr fontId="18" type="noConversion"/>
  </si>
  <si>
    <t>2) 인사팀 채용 담당자는 채용공고 혹은 헤드헌터를 통하여 집계된 자원자들을 심사 및 면접대상자를 인사규정 및 절차에 따라 선정 후 면접을 진행하여 최종 입사자를 선발한다.</t>
    <phoneticPr fontId="18" type="noConversion"/>
  </si>
  <si>
    <t>3) 인사팀 채용 담당자는 채용이 있을때 마다 인사규정에 따라 채용품의서를 작성하고 그룹웨어로 팀장에 전달한다.</t>
    <phoneticPr fontId="18" type="noConversion"/>
  </si>
  <si>
    <t>3-c) 인사팀 팀장은 채용이 있을 때마다 그룹웨어로 신규입사자에 대하여 작성된 채용품의서가 인사규정 및 절차에 부합하는지를 검증하고 승인한다.</t>
    <phoneticPr fontId="18" type="noConversion"/>
  </si>
  <si>
    <t>3-e) 인사팀 팀장은 채용품의서가 인사규정 및 절차에 부함하지 않을 경우 사유를 확인하고 재작성하도록 한다.</t>
    <phoneticPr fontId="18" type="noConversion"/>
  </si>
  <si>
    <t>1) 인사팀 평가 담당자는 최근 시장정보 및 법률에 따라 인사평가기준을 업데이트 하고 인사규정에 따라 승인을 받는다.</t>
    <phoneticPr fontId="18" type="noConversion"/>
  </si>
  <si>
    <t>2) 인사팀 평가 담당자는 매년 인사평가기준에 따라 임직원에 대한 평가내역을 작성하여 그룹웨어를 통해 인사팀 팀장에 전달한다.</t>
    <phoneticPr fontId="18" type="noConversion"/>
  </si>
  <si>
    <t>2-c) 인사팀 팀장은 매년 그룹웨어로 전달받은 임직원 평가내역이 인사평가기준에 따라 적절하게 작성되었는지 검토하고 승인한다.</t>
    <phoneticPr fontId="18" type="noConversion"/>
  </si>
  <si>
    <t>2-e) 인사팀 팀장은 임직원 평가내역이 인사평가기준에 따라 적절하게 작성되지 않았을 경우 사유를 확인하고 재작성하도록 한다.</t>
    <phoneticPr fontId="18" type="noConversion"/>
  </si>
  <si>
    <t>3) 각 팀 팀장은 승급이 필요한 직원이 발생할때 승급추천서를 작성하여 인사규정에 따라 승인을 받는다.</t>
    <phoneticPr fontId="18" type="noConversion"/>
  </si>
  <si>
    <t>4) 인사평가내역 및 승급추천서에 따라 승진자가 확정된다.</t>
    <phoneticPr fontId="18" type="noConversion"/>
  </si>
  <si>
    <t>5) 인사팀 인사마스터 담당자는 인사변경사항이 발생할 때 인사규정에 따른 정당한 사유에 따라 그룹웨어를 통해 인사변경품의서를 작성한다.</t>
    <phoneticPr fontId="18" type="noConversion"/>
  </si>
  <si>
    <t>5-c) 인사팀 팀장은 인사변경사항이 발생할 때 그룹웨어로 전달받은 인사변경품의서가 인사규정에 따른 정당한 사유인지 검증하고 승인한다.</t>
    <phoneticPr fontId="18" type="noConversion"/>
  </si>
  <si>
    <t>5-e) 인사팀 팀장은 인사변경품의서가 인사규정에 따른 정당한 사유가 아닐시 원인을 확인하고 재작성하도록 한다.</t>
    <phoneticPr fontId="18" type="noConversion"/>
  </si>
  <si>
    <t>6) 인사팀 인사마스터 담당자는 승인받은 인사변경품의서에 따라 인사변경사항을 입력한다.</t>
    <phoneticPr fontId="18" type="noConversion"/>
  </si>
  <si>
    <t>6-c) 인사시스템에 인사변경사항 입력시 인사마스터상 필수정보가 입력되지 않을 경우 처리되지 않는다.</t>
    <phoneticPr fontId="18" type="noConversion"/>
  </si>
  <si>
    <t>7-c) 인사마스터는 인사팀장에 승인받은 적격한 담당자만 접근할 수 있다.</t>
    <phoneticPr fontId="18" type="noConversion"/>
  </si>
  <si>
    <t>8-c) 인사팀 인사마스터 담당자는 분기마다 인사변경품의에 따라 인사정보가 변경되었는지 모니터링(검증)한다.</t>
    <phoneticPr fontId="18" type="noConversion"/>
  </si>
  <si>
    <t>1) 인사계획에 따라 부서 이동, 관계사간 전출입 또는 퇴사자가 결정되면 인사발령 문서를 작성한다.</t>
    <phoneticPr fontId="18" type="noConversion"/>
  </si>
  <si>
    <t>2) 인사발령 문서는 각 해당자에 그룹웨어를 통해 전달된다.</t>
    <phoneticPr fontId="18" type="noConversion"/>
  </si>
  <si>
    <t>3) 퇴사자는 퇴직급여 프로세스에서 추가로 정리된다.</t>
    <phoneticPr fontId="18" type="noConversion"/>
  </si>
  <si>
    <t>승인받은 인사계획은 채용, 평가, 부서이동 및 퇴사 프로세스로 진행된다.</t>
  </si>
  <si>
    <t>프로세스 연결</t>
    <phoneticPr fontId="18" type="noConversion"/>
  </si>
  <si>
    <t>퇴사자의 경우 퇴직급여 프로세스로 연결</t>
    <phoneticPr fontId="18" type="noConversion"/>
  </si>
  <si>
    <t>프로세스연결</t>
    <phoneticPr fontId="18" type="noConversion"/>
  </si>
  <si>
    <t>자금 프로세스로 연결</t>
    <phoneticPr fontId="18" type="noConversion"/>
  </si>
  <si>
    <t>계리평가보고서 체크리스트</t>
    <phoneticPr fontId="18" type="noConversion"/>
  </si>
  <si>
    <t>재무보고 프로세스로 연결</t>
    <phoneticPr fontId="18" type="noConversion"/>
  </si>
  <si>
    <t>@{인사계획문서}@</t>
    <phoneticPr fontId="18" type="noConversion"/>
  </si>
  <si>
    <t>@{승인권자}@</t>
    <phoneticPr fontId="18" type="noConversion"/>
  </si>
  <si>
    <t>^{인사계획문서}^ 작성</t>
    <phoneticPr fontId="18" type="noConversion"/>
  </si>
  <si>
    <t>@{인사계획문서}@ ^{통제}^</t>
    <phoneticPr fontId="18" type="noConversion"/>
  </si>
  <si>
    <t>^{채용요청서}^ 작성</t>
    <phoneticPr fontId="18" type="noConversion"/>
  </si>
  <si>
    <t>@{채용요청서}@ ^{통제}^</t>
    <phoneticPr fontId="18" type="noConversion"/>
  </si>
  <si>
    <t>@{채용요청서}@</t>
    <phoneticPr fontId="18" type="noConversion"/>
  </si>
  <si>
    <t>^{채용품의서}^ 작성</t>
    <phoneticPr fontId="18" type="noConversion"/>
  </si>
  <si>
    <t>@{채용품의서}@ ^{통제}^</t>
    <phoneticPr fontId="18" type="noConversion"/>
  </si>
  <si>
    <t xml:space="preserve">^{팀1}^ ^{담당자}^는 ^{주기}^ 각 팀별 필요 채용인원을 파악, 평가기준 업데이트, 부서이동 및 퇴사 인원을 고려하여 ^{인사_시스템}^를 통해 @{인사계획문서}@를 작성하고 ^{승인권자}^에게 전달한다. </t>
    <phoneticPr fontId="18" type="noConversion"/>
  </si>
  <si>
    <t>^{팀1}^ ^{담당자}^는 인사계획에 따른 부서별 채용 인원 및 시기에 맞춰 ^{인사_시스템}^를 통해 @{채용요청서}@를 작성하고 ^{팀2}^ ^{승인권자}^에게 전달한다.</t>
    <phoneticPr fontId="18" type="noConversion"/>
  </si>
  <si>
    <t>@{팀2}@ @{승인권자}@은 인사계획이 채용, 평가, 부서이동 및 퇴사 인원이 적절히 고려되어 계획되지 않았을 경우 @{팀1}@ @{담당자}@에게 재작성하도록 요청한다.</t>
    <phoneticPr fontId="18" type="noConversion"/>
  </si>
  <si>
    <t>@{팀2}@ @{승인권자}@은 @{채용요청서}@가 인사계획 및 인사규정에 따라 적정하게 작성되지 않았을 경우 @{팀1}@ @{담당자}@에게 재작성하도록 한다.</t>
    <phoneticPr fontId="18" type="noConversion"/>
  </si>
  <si>
    <t>^{팀1}^ ^{담당자}^는 @{채용요청서}@가 승인된 후 회사 홈페이지, 채용사이트에 공고하거나 해드헌터에 요청한다.</t>
    <phoneticPr fontId="18" type="noConversion"/>
  </si>
  <si>
    <t>^{팀1}^ ^{담당자}^는 ^{채용주기}^ 인사규정에 따라 @{채용품의서}@를 작성하고 ^{인사_시스템}^로 ^{팀2}^ ^{승인권자}^에 전달한다.</t>
    <phoneticPr fontId="18" type="noConversion"/>
  </si>
  <si>
    <t>^{팀1}^ ^{담당자}^는 인사규정에 따라 지원자를 선정하며, 이력서에 기재한 사항 허위여부 검증을 위해 자격증사본, 경력증명서, 국민연금가입증명원 등을 확인한다.</t>
    <phoneticPr fontId="18" type="noConversion"/>
  </si>
  <si>
    <t>^{팀1}^ ^{담당자}^는 채용공고 혹은 헤드헌터를 통하여 집계된 자원자들을 심사 및 면접대상자를 인사규정 및 절차에 따라 선정 후 면접을 진행하여 최종 입사자를 선발한다.</t>
    <phoneticPr fontId="18" type="noConversion"/>
  </si>
  <si>
    <t>@{팀2}@</t>
    <phoneticPr fontId="18" type="noConversion"/>
  </si>
  <si>
    <t>@{채용품의서}@</t>
  </si>
  <si>
    <t>^{팀1}^ ^{담당자}^는 최근 시장정보 및 법률에 따라 인사평가기준을 업데이트 하고 인사규정에 따라 승인을 받는다.</t>
    <phoneticPr fontId="18" type="noConversion"/>
  </si>
  <si>
    <t>임직원 평가내역 ^{통제}^</t>
    <phoneticPr fontId="18" type="noConversion"/>
  </si>
  <si>
    <t>^{팀1}^ ^{담당자}^는 ^{주기}^ 인사평가기준에 따라 ^{임직원평가내역서}^를 작성하여 ^{인사_시스템}^를 통해 ^{팀2}^ ^{승인권자}^에 전달한다.</t>
    <phoneticPr fontId="18" type="noConversion"/>
  </si>
  <si>
    <t>@{팀2}@ @{승인권자}@은 @{채용품의서}@가 인사규정 및 절차에 부함하지 않을 경우 사유를 확인하고  @{팀1}@ @{담당자}@에게 재작성하도록 한다.</t>
    <phoneticPr fontId="18" type="noConversion"/>
  </si>
  <si>
    <t>@{팀2}@ @{승인권자}@은 @{임직원평가내역서}@가 인사평가기준에 따라 적절하게 작성되지 않았을 경우 사유를 확인하고 @{팀1}@ @{담당자}@에게 재작성하도록 한다.</t>
    <phoneticPr fontId="18" type="noConversion"/>
  </si>
  <si>
    <t>@{임직원평가내역서}@</t>
    <phoneticPr fontId="18" type="noConversion"/>
  </si>
  <si>
    <t>^{승급추천서}^ 작성</t>
    <phoneticPr fontId="18" type="noConversion"/>
  </si>
  <si>
    <t>각 팀 ^{담당자}^은 승급이 필요한 직원이 발생할때 ^{승급추천서}^를 작성하여 인사규정에 따라 승인을 받는다.</t>
    <phoneticPr fontId="18" type="noConversion"/>
  </si>
  <si>
    <t>^{인사변경품의서}^ 작성</t>
    <phoneticPr fontId="18" type="noConversion"/>
  </si>
  <si>
    <t>^{팀1}^ ^{담당자}^는 인사변경사항이 발생할 때 인사규정에 따른 정당한 사유에 따라 ^{인사_시스템}^를 통해 ^{인사변경품의서}^를 작성한다.</t>
    <phoneticPr fontId="18" type="noConversion"/>
  </si>
  <si>
    <t>@{인사변경품의서}@ ^{통제}^</t>
    <phoneticPr fontId="18" type="noConversion"/>
  </si>
  <si>
    <t>@{팀2}@ @{승인권자}@은 @{인사변경품의서}@가 인사규정에 따른 정당한 사유가 아닐시 원인을 확인하고 @{팀1}@ @{담당자}@에게 재작성하도록 한다.</t>
    <phoneticPr fontId="18" type="noConversion"/>
  </si>
  <si>
    <t>@{인사변경품의서}@</t>
    <phoneticPr fontId="18" type="noConversion"/>
  </si>
  <si>
    <t>@{주기}@</t>
    <phoneticPr fontId="18" type="noConversion"/>
  </si>
  <si>
    <t>@{채용주기}@</t>
    <phoneticPr fontId="18" type="noConversion"/>
  </si>
  <si>
    <t>@{인사변경사항입력주기}@</t>
    <phoneticPr fontId="18" type="noConversion"/>
  </si>
  <si>
    <t>^{팀1}^ ^{담당자}^는 승인받은 ^{인사변경품의서}^에 따라 인사변경사항을 입력한다.</t>
    <phoneticPr fontId="18" type="noConversion"/>
  </si>
  <si>
    <t>인사마스터는 ^{팀2}^ ^{승인권자}^의 승인받은 적격한 담당자만 접근할 수 있다.</t>
    <phoneticPr fontId="18" type="noConversion"/>
  </si>
  <si>
    <t>^{팀2}^ ^{담당자}^는 분기마다 인사변경품의에 따라 인사정보가 변경되었는지 모니터링(검증)한다.</t>
    <phoneticPr fontId="18" type="noConversion"/>
  </si>
  <si>
    <t>^{팀1}^ ^{담당자}^는 ^{주기}^ 임직원현황을 업데이트한다.</t>
    <phoneticPr fontId="18" type="noConversion"/>
  </si>
  <si>
    <t xml:space="preserve">^{인사발령문서}^ 작성 </t>
    <phoneticPr fontId="18" type="noConversion"/>
  </si>
  <si>
    <t>^{팀1}^ ^{담당자}^는 인사계획에 따라 부서 이동, 관계사간 전출입 또는 퇴사자가 결정되면 ^{인사발령문서}^를 작성한다.</t>
    <phoneticPr fontId="18" type="noConversion"/>
  </si>
  <si>
    <t>재무보고 프로세스로 연결(전표처리 프로세스)</t>
    <phoneticPr fontId="18" type="noConversion"/>
  </si>
  <si>
    <t>ANNUAL</t>
    <phoneticPr fontId="18" type="noConversion"/>
  </si>
  <si>
    <t>&lt;SOD, 자동통제라서</t>
    <phoneticPr fontId="18" type="noConversion"/>
  </si>
  <si>
    <t xml:space="preserve">고정급 및 수당은 ^{고정급및수당변경주기}^ ^{팀1}^ ^{담당자}^가 급여 마스터파일을 변경하면 ^{인사_시스템}^에 해당 변동내역이 자동으로 반영된다. </t>
    <phoneticPr fontId="18" type="noConversion"/>
  </si>
  <si>
    <t>고정급 및 수당은 ^{고정급및수당변경주기}^ ^{팀1}^ ^{담당자}^가 급여 마스터파일을 변경하면 ^{팀1}^ ^{담당자}^가 변경사항을 ^{급여계산프로그램}^에 수기로 반영한다.</t>
    <phoneticPr fontId="18" type="noConversion"/>
  </si>
  <si>
    <t>고정급 및 수당은 ^{고정급및수당변경주기}^ ^{팀1}^ ^{담당자}^가 ^{팀2}^ ^{승인권자}^에게 ^{인사_시스템}^로 인원변동자료 및 인사정보변동내역을 전달하며, @{팀2}@ @{승인권자}@는 해당 변동내역을 검토 후 ^{급여계산프로그램}^에 반영한다.</t>
    <phoneticPr fontId="18" type="noConversion"/>
  </si>
  <si>
    <t>원천세 등 공제액에 대해서는 ^{주기}^ ^{인사_시스템}^에서 자동으로 공제액이 계산되어 입력되며, 인사팀 담당자는 @{인사_시스템}@과 증빙을 비교하여 적절하게 반영되었는지 검토한다.</t>
    <phoneticPr fontId="18" type="noConversion"/>
  </si>
  <si>
    <t>원천세 등 공제액에 대해서는 ^{주기}^ ^{팀1}^ ^{담당자}^가 계산한 공제액 엑셀파일과 증빙을 대사 후 ^{인사_시스템}^에 입력하며 ^{팀2}^ ^{승인권자}^는 @{인사_시스템}@과 엑셀파일을 비교하여 적절하게 반영되었는지 검토한다.</t>
    <phoneticPr fontId="18" type="noConversion"/>
  </si>
  <si>
    <t>^{팀1}^ ^{담당자}^가 ^{주기}^ 고정급, 수당, 상여 및 공제액을 ^{인사_시스템}^에 입력하면 자동으로 급여대장이 작성된다.</t>
    <phoneticPr fontId="18" type="noConversion"/>
  </si>
  <si>
    <t>^{팀1}^ ^{담당자}^는 ^{주기}^ 고정급, 수당, 상여 및 공제액을 엑셀에 입력하여 급여대장을 수기로 작성한다.</t>
    <phoneticPr fontId="18" type="noConversion"/>
  </si>
  <si>
    <t>급여 계산 산식 및 공제 금액 산식은 급여규정에 따라 ^{급여계산프로그램}^에 프로그램화 되어 있다.</t>
    <phoneticPr fontId="18" type="noConversion"/>
  </si>
  <si>
    <t>고정급, 수당, 원천세 입력 및 계산</t>
    <phoneticPr fontId="18" type="noConversion"/>
  </si>
  <si>
    <t>processname6</t>
    <phoneticPr fontId="18" type="noConversion"/>
  </si>
  <si>
    <t>processexplain6</t>
    <phoneticPr fontId="18" type="noConversion"/>
  </si>
  <si>
    <t xml:space="preserve">^{팀1}^ ^{담당자}^는 급여대장을 바탕으로 급여집계표를 작성하며, '^{팀1}^ ^{담당자}^은 급여집계표에서 전월 대비 변동내역, 특이사항, OT변화, 지급금액 등의 적정성을 검토 후 승인한다. </t>
    <phoneticPr fontId="18" type="noConversion"/>
  </si>
  <si>
    <t>급여 전표 ^{통제}^</t>
    <phoneticPr fontId="18" type="noConversion"/>
  </si>
  <si>
    <t>^{팀2}^ ^{승인권자}^은 ^{주기}^ 급여대장/급여집계표를 바탕으로 작성한 급여 전표와 급여대장/급여집계표를 대사하여 급여전표에 작성된 금액의 적정성을 ^{통제}^한다.</t>
    <phoneticPr fontId="18" type="noConversion"/>
  </si>
  <si>
    <t>급여 전표</t>
    <phoneticPr fontId="18" type="noConversion"/>
  </si>
  <si>
    <t xml:space="preserve">급여대장의 접근 및 수정 권한은 인사팀 급여 담당자 및 ^{팀2}^ ^{승인권자}^에게만 주어진다. </t>
    <phoneticPr fontId="18" type="noConversion"/>
  </si>
  <si>
    <t>급여대장 ^{통제}^</t>
    <phoneticPr fontId="18" type="noConversion"/>
  </si>
  <si>
    <t>^{팀1}^ ^{담당자}^은 ^{주기}^ ^{팀1}^ ^{담당자}^가 작성하거나 ^{인사_시스템}^에서 자동으로 생성된 급여대장의 전월 대비 변동내역, 특이사항, OT 변화, 지급금액 등의 적정성을 검토 후 승인한다.</t>
    <phoneticPr fontId="18" type="noConversion"/>
  </si>
  <si>
    <t>연차수당에 대해서는 ^{주기}^  ^{팀1}^ ^{담당자}^가 ^{인사_시스템}^에서 인사정보 및 잔여연차현황을 다운로드하여 엑셀을 이용해 개인별 연차수당을 수기로 계산한다.</t>
    <phoneticPr fontId="18" type="noConversion"/>
  </si>
  <si>
    <t>연차수당 ^{통제}^</t>
    <phoneticPr fontId="18" type="noConversion"/>
  </si>
  <si>
    <t>^{팀2}^ ^{승인권자}^는 ^{주기}^  @{팀1}@ {담당자}@가 계산한 ^{연차수당계산파일}^을 수령하여, 수식의 정확성 및 연차수당 계산파일에 사용된 기초 data의 정확성 및 완전성을 ^{통제}^한다.</t>
    <phoneticPr fontId="18" type="noConversion"/>
  </si>
  <si>
    <t>@{연차수당계산파일}@</t>
    <phoneticPr fontId="18" type="noConversion"/>
  </si>
  <si>
    <t xml:space="preserve">회사는 급여 업무를 ^{인사_아웃소싱업체}^에 위탁하고 있으며, 직원들의 기본급여와 차감사항 등을 합산하여 총 월 급여를 산출하여 @{인사_아웃소싱업체}@에 급여파일을 ^{인사_전송매체}^를 통해 전달한다. </t>
    <phoneticPr fontId="18" type="noConversion"/>
  </si>
  <si>
    <t>^{인사_아웃소싱업체}^에 기초 데이터 전달</t>
    <phoneticPr fontId="18" type="noConversion"/>
  </si>
  <si>
    <t>^{인사_아웃소싱업체}^로부터 자료 수령</t>
    <phoneticPr fontId="18" type="noConversion"/>
  </si>
  <si>
    <t xml:space="preserve"> ^{인사_아웃소싱업체}^는 월 급여 작업을 완료하면 해당 파일을 회사 ^{팀1}^ ^{담당자}^에게 ^{인사_전송매체}^를 통해 전달한다. </t>
    <phoneticPr fontId="18" type="noConversion"/>
  </si>
  <si>
    <t>@{인사_아웃소싱업체}@로부터 받은 급여계산내역 ^{통제}^</t>
    <phoneticPr fontId="18" type="noConversion"/>
  </si>
  <si>
    <t xml:space="preserve">^{팀2}^ ^{승인권자}^은 ^{주기}^ @{인사_아웃소싱업체}@로부터 받은 ^{아웃소싱급여계산내역명}^을 수령하여, 수식의 정확성 및 회사가 아웃소싱업체에 전달한 인사 기초 data의 완전성을 ^{통제}^한다. </t>
    <phoneticPr fontId="18" type="noConversion"/>
  </si>
  <si>
    <t>@{아웃소싱급여계산내역명}@</t>
    <phoneticPr fontId="18" type="noConversion"/>
  </si>
  <si>
    <t xml:space="preserve"> ^{팀1}^ ^{담당자}^는 ^{인사_시스템}^에서 기준일 현재 재직 중인 직원 중 급여 대상자를 확정하고 대상자별 근태예외, 직군변경 등의 내용은 인사발령처리내역을 통해 확인하여 월급여지급액을 확정한다.</t>
    <phoneticPr fontId="18" type="noConversion"/>
  </si>
  <si>
    <t>^{급여지출결의서}^ 작성</t>
    <phoneticPr fontId="18" type="noConversion"/>
  </si>
  <si>
    <t>@{급여지출결의서}@ ^{통제}^</t>
    <phoneticPr fontId="18" type="noConversion"/>
  </si>
  <si>
    <t>^{팀1}^ ^{담당자}^는 적절한 승인을 득한 급여대장/급여집계표를 바탕으로 ^{급여지출결의서}^를 작성하여 ^{팀2}^에 ^{인사_시스템}^을 통해 전달한다.</t>
    <phoneticPr fontId="18" type="noConversion"/>
  </si>
  <si>
    <t>^{팀2}^ ^{승인권자}^는 ^{주기}^ ^{팀1}^ ^{담당자}^ 작성한 @{급여지출결의서}@가 적절한 승인을 득한 급여대장/급여집계표에 작성된 금액과 일치하는지 대사 후 ^{인사_시스템}^를 통해 @{급여지출결의서}@를 ^{통제}^한다.</t>
    <phoneticPr fontId="18" type="noConversion"/>
  </si>
  <si>
    <t>@{급여지출결의서}@</t>
  </si>
  <si>
    <t xml:space="preserve">^{팀1}^ ^{담당자}^는 개인별 성과급 지급률에 대해 각각 조직별 지급률, 조직별 개인업적평가 기준 지급률 등을 계산하여 ^{팀2}^ ^{승인권자}^의 승인을 득한다. </t>
    <phoneticPr fontId="18" type="noConversion"/>
  </si>
  <si>
    <t>개인 성과급은 ^{주기}^ ^{팀1}^ ^{담당자}^가 개인별 상/하반기 핵심성과지표에 따른 업적고과를 평가하여 기준지급률에 따라 성과급을 계산한 후, ^{성과급지출결의서}^를 작성한다.</t>
    <phoneticPr fontId="18" type="noConversion"/>
  </si>
  <si>
    <t>^{팀2}^ ^{승인권자}^는 ^{주기}^ @{팀1}@ @{담당자}@가 작성한 @{성과급지출결의서}@에 개인별 지급률을 적용하여 계산된 개인별 성과급 지급액이 전반기 대비 직급별 금액 및 적절한 기간에 귀속되었는지 여부 등을 ^{통제}^한다.</t>
    <phoneticPr fontId="18" type="noConversion"/>
  </si>
  <si>
    <t>^{성과급지출결의서}^ ^{통제}^</t>
    <phoneticPr fontId="18" type="noConversion"/>
  </si>
  <si>
    <t>@{성과급지출결의서}@</t>
    <phoneticPr fontId="18" type="noConversion"/>
  </si>
  <si>
    <t>주식보상선택권 가치평가보고서 ^{통제}^</t>
    <phoneticPr fontId="18" type="noConversion"/>
  </si>
  <si>
    <t>주식보상선택권의 경우, ^{주기}^ ^{팀1}^ ^{담당자}^는 체크리스트 통해 가치평가보고서상 금액의 적정성을 검증하고 문서화한 후 ^{팀2}^ ^{승인권자}^의 승인을 득한다.</t>
    <phoneticPr fontId="18" type="noConversion"/>
  </si>
  <si>
    <t>자금 프로세스로 연결(급여지급)</t>
    <phoneticPr fontId="18" type="noConversion"/>
  </si>
  <si>
    <t>자금 프로세스로 연결(성과급지급)</t>
    <phoneticPr fontId="18" type="noConversion"/>
  </si>
  <si>
    <t>^{팀1}^ ^{담당자}^는 ^{주기}^ 주식기준보상 관련 주주총회에서 결정된 부여수량, 행사가격 및 가득요건 등을 확인하여 약정 용역제공기간, 기대소멸율을 고려하여 보상원가를 인식하는 전표를 작성한다.</t>
    <phoneticPr fontId="18" type="noConversion"/>
  </si>
  <si>
    <t>주식보상선택권 전표 ^{통제}^</t>
    <phoneticPr fontId="18" type="noConversion"/>
  </si>
  <si>
    <t>회사는 ^{퇴직운용자산}^를 운영하고 있다.</t>
    <phoneticPr fontId="18" type="noConversion"/>
  </si>
  <si>
    <t>^{팀1}^ ^{담당자}^는 ^{주기}^ 계리평가보고서 신청 양식에 맞추어 기산일, 평균임금, 추계액, 임직원 여부를 작성하고 ^{인사_시스템}^상 개인별 입사일, 퇴사일, 월정급여, 상여 등의 자료를 확인하여 모든 인원이 포함되어 있는지 여부를 검토한 후 해당 내용에 대하여 계리평가법인으로 송부한다.</t>
    <phoneticPr fontId="18" type="noConversion"/>
  </si>
  <si>
    <t>^{팀1}^ ^{담당자}^는 ^{주기}^ 계리평가법인에 자료를 송부할 때 장기종업원급여와 관련된 자료도 함께 제출한다.</t>
    <phoneticPr fontId="18" type="noConversion"/>
  </si>
  <si>
    <t>주식보상선택권 전표</t>
    <phoneticPr fontId="18" type="noConversion"/>
  </si>
  <si>
    <t>주식보상선택권 가치평가보고서</t>
    <phoneticPr fontId="18" type="noConversion"/>
  </si>
  <si>
    <t>^{팀1}^ ^{담당자}^는 ^{주기}^ 계리평가법인으로부터 계리평가보고서를 수령한다.</t>
    <phoneticPr fontId="18" type="noConversion"/>
  </si>
  <si>
    <t>계리평가보고서 정확성 ^{통제}^</t>
    <phoneticPr fontId="18" type="noConversion"/>
  </si>
  <si>
    <t>^{팀2}^ ^{승인권자}^은 ^{주기}^ ^{팀1}^ ^{담당자}^가 계산한 주식보상선택권 보상원가에 적용된 부여수량, 행사가격, 약정 용역제공기간, 기대소멸율이 적정한 지 ^{통제}^한다.</t>
    <phoneticPr fontId="18" type="noConversion"/>
  </si>
  <si>
    <t>계리평가보고서</t>
    <phoneticPr fontId="18" type="noConversion"/>
  </si>
  <si>
    <t>^{팀1}^ ^{담당자}^는 ^{주기}^ 계리평가법인으로부터 수령한 계리평가보고서에서 사용된 가정, 할인율, 회사 정책 및 기초 데이터가 적절하며 계산 수식이 정확한지 체크리스트에 따라 ^{통제}^한다.</t>
    <phoneticPr fontId="18" type="noConversion"/>
  </si>
  <si>
    <t>^{팀1}^ ^{담당자}^는 계리법인으로부터 수령한 계리평가보고서 내역을 ^{팀2}^에 공유하고, @{팀2}@에서 ^{회계_시스템}^에 전표를 작성한다.</t>
    <phoneticPr fontId="18" type="noConversion"/>
  </si>
  <si>
    <t xml:space="preserve">^{팀1}^ ^{담당자}^는 ^{팀2}^ ^{승인권자}^와 상의하여 퇴직연금 부보처와 부보금액을 정한 후, 해당 내용을 바탕으로 ^{사외적립자산불입기안서}^를 작성한다. </t>
    <phoneticPr fontId="18" type="noConversion"/>
  </si>
  <si>
    <t>^{사외적립자산불입기안서}^ 작성</t>
    <phoneticPr fontId="18" type="noConversion"/>
  </si>
  <si>
    <t>^{사외적립자산불입기안서}^ ^{통제}^</t>
    <phoneticPr fontId="18" type="noConversion"/>
  </si>
  <si>
    <t>@{사외적립자산불입기안서}@</t>
  </si>
  <si>
    <t>^{팀2}^ ^{승인권자}^은 ^{주기}^ @{팀1}@ @{담당자}@가 작성한 @{사외적립자산불입기안서}@에 기입된 퇴직연금 부보처와 부보금액의 적정성을 ^{통제}^한다.</t>
    <phoneticPr fontId="18" type="noConversion"/>
  </si>
  <si>
    <t>사외적립자산 평가 ^{통제}^</t>
    <phoneticPr fontId="18" type="noConversion"/>
  </si>
  <si>
    <t>^{팀2}^ ^{승인권자}^는^{주기}^ 보험회사로부터 수령한 퇴직연금 운용보고서와 총계정원장의 확정급여부채 및 사외적립자산 금액이 일치하는지 ^{통제}^한다.</t>
    <phoneticPr fontId="18" type="noConversion"/>
  </si>
  <si>
    <t>퇴직연금 운용보고서</t>
    <phoneticPr fontId="18" type="noConversion"/>
  </si>
  <si>
    <t>퇴직예정자는 퇴직예정일 30일 전에 사직원 관련 서류(사직서, 개인정보 수집 및 이용 동의서, 정보보호서약서, 퇴직자 체크리스트 등)를 작성하여 ^{팀1}^에 제출함을 원칙으로 한다.</t>
    <phoneticPr fontId="18" type="noConversion"/>
  </si>
  <si>
    <t>퇴직예정자는 소속 부서장과의 면담 후 사직서에 의견을 기재하고 위임전결규정에 따라 승인을 득한 다음, 승인한 사직서를 ^{팀1}^ ^{담당자}^에게 송부한다.</t>
    <phoneticPr fontId="18" type="noConversion"/>
  </si>
  <si>
    <t>^{팀1}^ ^{담당자}^는 ^{주기}^ 보험회사로부터 퇴직연금 운용보고서를 수령한다.</t>
    <phoneticPr fontId="18" type="noConversion"/>
  </si>
  <si>
    <t>^{팀1}^ {담당자}^는 각 부서로부터 통보받은 사직원에 대해 ^{인사발령품의서}^를 작성하여 ^{팀1}^ 승인권자의 승인을 득한다.</t>
    <phoneticPr fontId="18" type="noConversion"/>
  </si>
  <si>
    <t>^{인사발령품의서}^ 승인</t>
    <phoneticPr fontId="18" type="noConversion"/>
  </si>
  <si>
    <t>^{팀2}^ ^{승인권자}^은 ^{주기}^ ^{인사_시스템}^로 전달받은 @{인사계획문서}@ 각 팀별 채용, 평가, 부서이동 및 퇴사 인원이 적절히 고려되어 작성되었는지 ^{통제}^한다.</t>
    <phoneticPr fontId="18" type="noConversion"/>
  </si>
  <si>
    <t>^{팀2}^ ^{승인권자}^은 ^{채용주기}^ @{인사_시스템}@로 전달받은 @{채용요청서}@가 인사계획 및 인사규정에 따라 적절히 작성되었는지 ^{통제}^한다.</t>
    <phoneticPr fontId="18" type="noConversion"/>
  </si>
  <si>
    <t>^{팀2}^ ^{승인권자}^은 ^{채용주기}^ @{인사_시스템}@로 신규입사자에 대하여 작성된 @{채용품의서}@가 인사규정 및 절차에 부합하는지를 ^{통제}^한다.</t>
    <phoneticPr fontId="18" type="noConversion"/>
  </si>
  <si>
    <t>^{팀2}^ ^{승인권자}^은 ^{주기}^ @{인사_시스템}@로 전달받은 @{임직원평가내역서}@가 인사평가기준에 따라 적절하게 작성되었는지 ^{통제}^한다.</t>
    <phoneticPr fontId="18" type="noConversion"/>
  </si>
  <si>
    <t>^{팀2}^ ^{승인권자}^은 ^{인사변경사항입력주기}^ @{인사_시스템}@로 전달받은 @{인사변경품의서}@가 인사규정에 따른 정당한 사유인지 ^{통제}^한다.</t>
    <phoneticPr fontId="18" type="noConversion"/>
  </si>
  <si>
    <t>퇴직발령 ^{통제}^</t>
    <phoneticPr fontId="18" type="noConversion"/>
  </si>
  <si>
    <t>^{팀1}^ ^{담당자}^는 ^{주기}^ 적절한 승인을 득한 퇴직발령 대상자에 대해 ^{인사_시스템}^에 퇴직일자를 입력하고 퇴직발령처리를 하여 재직구분을 퇴직으로 변경하며, ^{팀2}^ ^{승인권자}^는 이를 ^{통제}^한다.</t>
    <phoneticPr fontId="18" type="noConversion"/>
  </si>
  <si>
    <t>@{인사_시스템}@ 퇴직발령 페이지</t>
    <phoneticPr fontId="18" type="noConversion"/>
  </si>
  <si>
    <t>^{퇴직금산정내역품의서}^ 작성</t>
    <phoneticPr fontId="18" type="noConversion"/>
  </si>
  <si>
    <t xml:space="preserve">^{팀1}^ {담당자}가^는 ^{인사_시스템}^을 통해 계산한 퇴직금을 기반으로^{퇴직금산정내역품의서}^를 작성한다. </t>
    <phoneticPr fontId="18" type="noConversion"/>
  </si>
  <si>
    <t>@{퇴직금산정내역품의서}@ ^{통제}^</t>
    <phoneticPr fontId="18" type="noConversion"/>
  </si>
  <si>
    <t>^{팀2}^ ^{승인권자}^은 ^{퇴직금지급주기}^ @{팀1}@ @{담당자}@가 작성한 @{퇴직금산정내역품의서}@에 기재된 퇴직금 계산내역에 사용된 데이터가 ^{인사_시스템}^에 있는 데이터와 일치하는 지 여부, ^{급여계산프로그램}^에 있는 데이터와 일치하는지 여부, 평균일급 금액의 정확성, 지급일수의 정확성, 퇴직금액의 정확성을 ^{통제}^한다.</t>
    <phoneticPr fontId="18" type="noConversion"/>
  </si>
  <si>
    <t>@{퇴직금산정내역품의서}@</t>
    <phoneticPr fontId="18" type="noConversion"/>
  </si>
  <si>
    <t>@{퇴직금지급주시}@</t>
    <phoneticPr fontId="18" type="noConversion"/>
  </si>
  <si>
    <t xml:space="preserve">퇴직발령이 이루어지면 ^{팀1}^ ^{담당자}^가 ^{인사_시스템}^에 입력된 인사정보를 기초로 하여 평균임금을 산정하고 퇴직금지급율(일수)를 곱하여 ^{인사_시스템}^을 통해 퇴직금을 계산한다. </t>
    <phoneticPr fontId="18" type="noConversion"/>
  </si>
  <si>
    <t>^{팀1}^ ^{담당자}^는 퇴직소득원천징수영수증과 지급요청서를 퇴직연금 운용사에 송부하여 퇴직 직원의 퇴직연금 집행을 요청한다.</t>
    <phoneticPr fontId="18" type="noConversion"/>
  </si>
  <si>
    <t>^{팀1}^ ^{담당자}^는 승인받은 ^{퇴직금산정내역품의서}^를 바탕으로 전표를 작성한다.</t>
    <phoneticPr fontId="18" type="noConversion"/>
  </si>
  <si>
    <t>퇴직금 지급전표</t>
    <phoneticPr fontId="18" type="noConversion"/>
  </si>
  <si>
    <t>^{팀2}^ ^{승인권자}^은 ^{주기}^ @{팀1}@ @{담당자}@가 작성한 퇴직금 지급전표에 작성된 금액과 퇴직금산정내역 품의서에 기재된 금액이 일치하는 지 ^{통제}^한다.</t>
    <phoneticPr fontId="18" type="noConversion"/>
  </si>
  <si>
    <t>회사는 ^{복리후생}^ 등의 복리후생을 제공하고 있다.</t>
    <phoneticPr fontId="18" type="noConversion"/>
  </si>
  <si>
    <t>^{복리후생신청품의서}^ 작성</t>
    <phoneticPr fontId="18" type="noConversion"/>
  </si>
  <si>
    <t xml:space="preserve">복리후생비는 현업에서 신청자가 필요서류를 첨부하여 ^{인사_시스템}^를 통해 ^{복리후생신청품의서}^를 작성하여 신청한다. </t>
    <phoneticPr fontId="18" type="noConversion"/>
  </si>
  <si>
    <t>@{복리후생신청품의서}@ ^{통제}^</t>
    <phoneticPr fontId="18" type="noConversion"/>
  </si>
  <si>
    <t>^{팀2}^ ^{승인권자}^은 ^{주기}^ 신청자가 작성한 @{복리후생신청품의서}@ 내용이 회사가 규정한 복리후생 수혜기준에 부합하는지 ^{통제}^한다.</t>
    <phoneticPr fontId="18" type="noConversion"/>
  </si>
  <si>
    <t>@{복리후생신청품의서}@</t>
  </si>
  <si>
    <t>팀1</t>
    <phoneticPr fontId="18" type="noConversion"/>
  </si>
  <si>
    <t>재무팀</t>
    <phoneticPr fontId="18" type="noConversion"/>
  </si>
  <si>
    <t>&lt;사전질문서에서 입력</t>
    <phoneticPr fontId="18" type="noConversion"/>
  </si>
  <si>
    <t>팀2</t>
    <phoneticPr fontId="18" type="noConversion"/>
  </si>
  <si>
    <t>통제</t>
    <phoneticPr fontId="18" type="noConversion"/>
  </si>
  <si>
    <t>승인</t>
    <phoneticPr fontId="18" type="noConversion"/>
  </si>
  <si>
    <t>인사_시스템</t>
    <phoneticPr fontId="18" type="noConversion"/>
  </si>
  <si>
    <t>이메일</t>
    <phoneticPr fontId="18" type="noConversion"/>
  </si>
  <si>
    <t>실물서류(하드카피)</t>
    <phoneticPr fontId="18" type="noConversion"/>
  </si>
  <si>
    <r>
      <t xml:space="preserve">&lt;사전질문서에서 회사에서 사용하는 </t>
    </r>
    <r>
      <rPr>
        <b/>
        <sz val="11"/>
        <color theme="1"/>
        <rFont val="맑은 고딕"/>
        <family val="3"/>
        <charset val="129"/>
        <scheme val="minor"/>
      </rPr>
      <t>인사시스템</t>
    </r>
    <r>
      <rPr>
        <sz val="11"/>
        <color theme="1"/>
        <rFont val="맑은 고딕"/>
        <family val="2"/>
        <charset val="129"/>
        <scheme val="minor"/>
      </rPr>
      <t>을 입력받아 변수를 추가해야함</t>
    </r>
    <phoneticPr fontId="18" type="noConversion"/>
  </si>
  <si>
    <t>회계_시스템</t>
    <phoneticPr fontId="18" type="noConversion"/>
  </si>
  <si>
    <t>인사계획문서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</si>
  <si>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인사계획문서명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</si>
  <si>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채용요청서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</si>
  <si>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채용요청서명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</si>
  <si>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채용주기</t>
    <phoneticPr fontId="18" type="noConversion"/>
  </si>
  <si>
    <t>채용시기에 마다</t>
    <phoneticPr fontId="18" type="noConversion"/>
  </si>
  <si>
    <t>채용품의서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</si>
  <si>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채용품의서명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</si>
  <si>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임직원평가내역서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</si>
  <si>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임직원평가내역서명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</si>
  <si>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승급추천서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</si>
  <si>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승급추천서명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</si>
  <si>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인사변경품의서명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</si>
  <si>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인사변경사항입력주기</t>
    <phoneticPr fontId="18" type="noConversion"/>
  </si>
  <si>
    <t>인사변경사항이 발생할 때마다</t>
    <phoneticPr fontId="18" type="noConversion"/>
  </si>
  <si>
    <t>인사발령문서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</si>
  <si>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인사발령문서명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</si>
  <si>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고정급및수당변경주기</t>
    <phoneticPr fontId="18" type="noConversion"/>
  </si>
  <si>
    <t>급여계산프로그램</t>
    <phoneticPr fontId="18" type="noConversion"/>
  </si>
  <si>
    <t>엑셀파일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</si>
  <si>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급여계산프로그램명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</si>
  <si>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급여집계표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</si>
  <si>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급여집계표명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</si>
  <si>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연차수당계산파일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</si>
  <si>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연차수당계산파일명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</si>
  <si>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아웃소싱업체관련</t>
    <phoneticPr fontId="18" type="noConversion"/>
  </si>
  <si>
    <t>인사_아웃소싱업체</t>
    <phoneticPr fontId="18" type="noConversion"/>
  </si>
  <si>
    <r>
      <t xml:space="preserve">&lt;사전질문서에서 급여관련 외부아웃소싱업체를 이용하고 있는지 여부 및 </t>
    </r>
    <r>
      <rPr>
        <b/>
        <sz val="11"/>
        <color theme="1"/>
        <rFont val="맑은 고딕"/>
        <family val="3"/>
        <charset val="129"/>
        <scheme val="minor"/>
      </rPr>
      <t>외부아웃소싱업체명</t>
    </r>
    <r>
      <rPr>
        <sz val="11"/>
        <color theme="1"/>
        <rFont val="맑은 고딕"/>
        <family val="2"/>
        <charset val="129"/>
        <scheme val="minor"/>
      </rPr>
      <t>을 입력받아야함</t>
    </r>
    <phoneticPr fontId="18" type="noConversion"/>
  </si>
  <si>
    <t>인사_전송매체</t>
    <phoneticPr fontId="18" type="noConversion"/>
  </si>
  <si>
    <t>아웃소싱업체 홈페이지</t>
    <phoneticPr fontId="18" type="noConversion"/>
  </si>
  <si>
    <t>아웃소싱업체로부터 받은 급여계산내역파일명</t>
    <phoneticPr fontId="18" type="noConversion"/>
  </si>
  <si>
    <t>아웃소싱급여계산내역명</t>
    <phoneticPr fontId="18" type="noConversion"/>
  </si>
  <si>
    <r>
      <t xml:space="preserve">&lt;급여관련 </t>
    </r>
    <r>
      <rPr>
        <b/>
        <sz val="11"/>
        <color theme="1"/>
        <rFont val="맑은 고딕"/>
        <family val="3"/>
        <charset val="129"/>
        <scheme val="minor"/>
      </rPr>
      <t>외부아웃소싱업체로부터 받은 급여계산파일의 명칭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</si>
  <si>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급여지출결의서</t>
    <phoneticPr fontId="18" type="noConversion"/>
  </si>
  <si>
    <r>
      <t>&lt;사전질문서에서</t>
    </r>
    <r>
      <rPr>
        <b/>
        <sz val="11"/>
        <color theme="1"/>
        <rFont val="맑은 고딕"/>
        <family val="3"/>
        <charset val="129"/>
        <scheme val="minor"/>
      </rPr>
      <t xml:space="preserve"> 급여지출결의서명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</si>
  <si>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성과급지출결의서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</si>
  <si>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성과급지출결의서명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</si>
  <si>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퇴직운용자산</t>
    <phoneticPr fontId="18" type="noConversion"/>
  </si>
  <si>
    <t>확정급여형퇴직연금제도(DB)</t>
    <phoneticPr fontId="18" type="noConversion"/>
  </si>
  <si>
    <t>확정기여형퇴직연금제도(DC)</t>
    <phoneticPr fontId="18" type="noConversion"/>
  </si>
  <si>
    <t>사외적립자산불입기안서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</si>
  <si>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사외적립자산불입기안서명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</si>
  <si>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인사발령품의서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</si>
  <si>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인사발령품의서명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</si>
  <si>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퇴직금산정내역품의서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</si>
  <si>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퇴직산정내역품의서명</t>
    </r>
    <r>
      <rPr>
        <sz val="11"/>
        <color theme="1"/>
        <rFont val="맑은 고딕"/>
        <family val="2"/>
        <charset val="129"/>
        <scheme val="minor"/>
      </rPr>
      <t xml:space="preserve"> 작성받게 할 것임</t>
    </r>
    <phoneticPr fontId="18" type="noConversion"/>
  </si>
  <si>
    <t>퇴직금지급주기</t>
    <phoneticPr fontId="18" type="noConversion"/>
  </si>
  <si>
    <t>퇴직금 지급시</t>
    <phoneticPr fontId="18" type="noConversion"/>
  </si>
  <si>
    <t>복리후생</t>
    <phoneticPr fontId="18" type="noConversion"/>
  </si>
  <si>
    <t>의료비</t>
    <phoneticPr fontId="18" type="noConversion"/>
  </si>
  <si>
    <t>학자금지원</t>
    <phoneticPr fontId="18" type="noConversion"/>
  </si>
  <si>
    <t>주택자금대출</t>
    <phoneticPr fontId="18" type="noConversion"/>
  </si>
  <si>
    <t>긴급자금대출</t>
    <phoneticPr fontId="18" type="noConversion"/>
  </si>
  <si>
    <t>복지카드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</si>
  <si>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회사의 복리후생 정책</t>
    </r>
    <r>
      <rPr>
        <sz val="11"/>
        <color theme="1"/>
        <rFont val="맑은 고딕"/>
        <family val="2"/>
        <charset val="129"/>
        <scheme val="minor"/>
      </rPr>
      <t>에 대해 물어보고 변수를 추가하는 것이 좋을 듯 합니다.</t>
    </r>
    <phoneticPr fontId="18" type="noConversion"/>
  </si>
  <si>
    <t>복리후생신청품의서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</si>
  <si>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복리후생신청품의서명</t>
    </r>
    <r>
      <rPr>
        <sz val="11"/>
        <color theme="1"/>
        <rFont val="맑은 고딕"/>
        <family val="2"/>
        <charset val="129"/>
        <scheme val="minor"/>
      </rPr>
      <t xml:space="preserve"> 작성받게 할 것임</t>
    </r>
    <phoneticPr fontId="18" type="noConversion"/>
  </si>
  <si>
    <t>인사계획 담당자</t>
    <phoneticPr fontId="18" type="noConversion"/>
  </si>
  <si>
    <t>채용 담당자</t>
    <phoneticPr fontId="18" type="noConversion"/>
  </si>
  <si>
    <t>인사평가 담당자</t>
    <phoneticPr fontId="18" type="noConversion"/>
  </si>
  <si>
    <t>인사마스터 담당자</t>
    <phoneticPr fontId="18" type="noConversion"/>
  </si>
  <si>
    <t>급여 담당자</t>
    <phoneticPr fontId="18" type="noConversion"/>
  </si>
  <si>
    <t>퇴직연금 담당자</t>
    <phoneticPr fontId="18" type="noConversion"/>
  </si>
  <si>
    <t>퇴직금 담당자</t>
    <phoneticPr fontId="18" type="noConversion"/>
  </si>
  <si>
    <t>&lt;&lt;이런 식으로 작성하는 것은 어떤가요?(좀 더 자세한 담당자..?)</t>
    <phoneticPr fontId="18" type="noConversion"/>
  </si>
  <si>
    <t>인사시스템</t>
    <phoneticPr fontId="18" type="noConversion"/>
  </si>
  <si>
    <t>인사계획문서명</t>
    <phoneticPr fontId="18" type="noConversion"/>
  </si>
  <si>
    <t>채용요청서명</t>
    <phoneticPr fontId="18" type="noConversion"/>
  </si>
  <si>
    <t>채용품의서명</t>
    <phoneticPr fontId="18" type="noConversion"/>
  </si>
  <si>
    <t>임직원평가내역서명</t>
    <phoneticPr fontId="18" type="noConversion"/>
  </si>
  <si>
    <t>승급추천서명</t>
    <phoneticPr fontId="18" type="noConversion"/>
  </si>
  <si>
    <t>인사변경품의서명</t>
    <phoneticPr fontId="18" type="noConversion"/>
  </si>
  <si>
    <t>인사발령문서명</t>
    <phoneticPr fontId="18" type="noConversion"/>
  </si>
  <si>
    <t>급여계산프로그램명</t>
    <phoneticPr fontId="18" type="noConversion"/>
  </si>
  <si>
    <t>급여집계표명</t>
    <phoneticPr fontId="18" type="noConversion"/>
  </si>
  <si>
    <t>연차수당계산파일명</t>
    <phoneticPr fontId="18" type="noConversion"/>
  </si>
  <si>
    <t>외부아웃소싱업체명</t>
    <phoneticPr fontId="18" type="noConversion"/>
  </si>
  <si>
    <t>외부아웃소싱업체로부터 받은 급여계산파일명</t>
    <phoneticPr fontId="18" type="noConversion"/>
  </si>
  <si>
    <t>급여지출결의서명</t>
    <phoneticPr fontId="18" type="noConversion"/>
  </si>
  <si>
    <t>성과급지출결의서명</t>
    <phoneticPr fontId="18" type="noConversion"/>
  </si>
  <si>
    <t>사외적립자산불입기안서명</t>
    <phoneticPr fontId="18" type="noConversion"/>
  </si>
  <si>
    <t>인사발령품의서명</t>
    <phoneticPr fontId="18" type="noConversion"/>
  </si>
  <si>
    <t>퇴직산정내역품의서명</t>
    <phoneticPr fontId="18" type="noConversion"/>
  </si>
  <si>
    <t>회사의 복리후생정책</t>
    <phoneticPr fontId="18" type="noConversion"/>
  </si>
  <si>
    <t>복리후생신청품의서명</t>
    <phoneticPr fontId="18" type="noConversion"/>
  </si>
  <si>
    <t>&lt;사전질문서&gt;</t>
    <phoneticPr fontId="18" type="noConversion"/>
  </si>
  <si>
    <t>$BJ$5</t>
  </si>
  <si>
    <t>$BJ$6</t>
    <phoneticPr fontId="18" type="noConversion"/>
  </si>
  <si>
    <t>$BJ$7</t>
  </si>
  <si>
    <t>$BJ$8</t>
  </si>
  <si>
    <t>$BJ$9</t>
  </si>
  <si>
    <t>$BJ$10</t>
  </si>
  <si>
    <t>$BJ$11</t>
  </si>
  <si>
    <t>$BJ$12</t>
  </si>
  <si>
    <t>$BJ$13</t>
  </si>
  <si>
    <t>$BJ$14</t>
  </si>
  <si>
    <t>$BJ$15</t>
  </si>
  <si>
    <t>$BJ$16</t>
  </si>
  <si>
    <t>$BJ$17</t>
  </si>
  <si>
    <t>$BJ$18</t>
  </si>
  <si>
    <t>$BJ$19</t>
  </si>
  <si>
    <t>팀1</t>
  </si>
  <si>
    <t>인사팀</t>
  </si>
  <si>
    <t>재무팀</t>
  </si>
  <si>
    <t>팀2</t>
  </si>
  <si>
    <t>N/A</t>
  </si>
  <si>
    <t>담당자</t>
  </si>
  <si>
    <t>팀장</t>
  </si>
  <si>
    <t>차석</t>
  </si>
  <si>
    <t>임원</t>
  </si>
  <si>
    <t>CFO</t>
  </si>
  <si>
    <t>CEO</t>
  </si>
  <si>
    <t>부서장</t>
  </si>
  <si>
    <t>대표이사</t>
  </si>
  <si>
    <t>주기</t>
  </si>
  <si>
    <t>매일</t>
  </si>
  <si>
    <t>매월</t>
  </si>
  <si>
    <t>매분기</t>
  </si>
  <si>
    <t>매반기</t>
  </si>
  <si>
    <t>매년</t>
  </si>
  <si>
    <t>수시</t>
  </si>
  <si>
    <t>발생할 때</t>
  </si>
  <si>
    <t>통제</t>
  </si>
  <si>
    <t>승인</t>
  </si>
  <si>
    <t>검토하고 승인</t>
  </si>
  <si>
    <t>검증</t>
  </si>
  <si>
    <t>대사</t>
  </si>
  <si>
    <t>물리적 통제</t>
  </si>
  <si>
    <t>감독통제</t>
  </si>
  <si>
    <t>업무분장</t>
  </si>
  <si>
    <t>접근제한</t>
  </si>
  <si>
    <t>승인권자</t>
  </si>
  <si>
    <t>인사_시스템</t>
  </si>
  <si>
    <t>이메일</t>
  </si>
  <si>
    <t>그룹웨어</t>
  </si>
  <si>
    <t>E-HR</t>
  </si>
  <si>
    <t>오라클</t>
  </si>
  <si>
    <t>MS Office</t>
  </si>
  <si>
    <t>엑셀</t>
  </si>
  <si>
    <t>실물서류(하드카피)</t>
  </si>
  <si>
    <t>인사계획문서</t>
  </si>
  <si>
    <t>인사계획서</t>
  </si>
  <si>
    <t>채용요청서</t>
  </si>
  <si>
    <t>채용주기</t>
  </si>
  <si>
    <t>채용시기에 마다</t>
  </si>
  <si>
    <t>채용품의서</t>
  </si>
  <si>
    <t>임직원평가내역서</t>
  </si>
  <si>
    <t>승급추천서</t>
  </si>
  <si>
    <t>인사변경품의서</t>
  </si>
  <si>
    <t>인사변경사항입력주기</t>
  </si>
  <si>
    <t>인사변경사항이 발생할 때마다</t>
  </si>
  <si>
    <t>인사발령문서</t>
  </si>
  <si>
    <t>급여계산프로그램</t>
  </si>
  <si>
    <t>급여집계표</t>
  </si>
  <si>
    <t>연차수당계산파일</t>
  </si>
  <si>
    <t>급여지출결의서</t>
  </si>
  <si>
    <t>성과급지출결의서</t>
  </si>
  <si>
    <t>사외적립자산불입기안서</t>
  </si>
  <si>
    <t>인사발령품의서</t>
  </si>
  <si>
    <t>복리후생신청품의서</t>
  </si>
  <si>
    <t>인사시스템</t>
  </si>
  <si>
    <t>인사_시스템</t>
    <phoneticPr fontId="18" type="noConversion"/>
  </si>
  <si>
    <t>인사_아웃소싱업체</t>
  </si>
  <si>
    <t>인사_아웃소싱업체</t>
    <phoneticPr fontId="18" type="noConversion"/>
  </si>
  <si>
    <t>아웃소싱업체로부터 받은 급여계산내역파일명</t>
  </si>
  <si>
    <t>아웃소싱업체로부터 받은 급여계산내역파일명</t>
    <phoneticPr fontId="18" type="noConversion"/>
  </si>
  <si>
    <t>퇴직금산정내역품의서</t>
  </si>
  <si>
    <t>복리후생</t>
  </si>
  <si>
    <t>질문</t>
    <phoneticPr fontId="18" type="noConversion"/>
  </si>
  <si>
    <t>회사에서 사용하는 인사시스템이 있다면, 그 시스템의 이름을 기재 부탁 드립니다.</t>
  </si>
  <si>
    <t>시스템</t>
  </si>
  <si>
    <t>서류</t>
  </si>
  <si>
    <t>거래처</t>
  </si>
  <si>
    <t>정책</t>
    <phoneticPr fontId="18" type="noConversion"/>
  </si>
  <si>
    <t>회사에서 사용하는 인사계획문서명이 있다면, 그 서류의 이름을 기재 부탁 드립니다.</t>
  </si>
  <si>
    <t>회사에서 사용하는 채용요청서명이 있다면, 그 서류의 이름을 기재 부탁 드립니다.</t>
  </si>
  <si>
    <t>회사에서 사용하는 채용품의서명이 있다면, 그 서류의 이름을 기재 부탁 드립니다.</t>
  </si>
  <si>
    <t>회사에서 사용하는 임직원평가내역서명이 있다면, 그 서류의 이름을 기재 부탁 드립니다.</t>
  </si>
  <si>
    <t>회사에서 사용하는 승급추천서명이 있다면, 그 서류의 이름을 기재 부탁 드립니다.</t>
  </si>
  <si>
    <t>회사에서 사용하는 인사변경품의서명이 있다면, 그 서류의 이름을 기재 부탁 드립니다.</t>
  </si>
  <si>
    <t>회사에서 사용하는 인사발령문서명이 있다면, 그 서류의 이름을 기재 부탁 드립니다.</t>
  </si>
  <si>
    <t>회사에서 사용하는 급여계산프로그램명이 있다면, 그 시스템의 이름을 기재 부탁 드립니다.</t>
  </si>
  <si>
    <t>회사에서 사용하는 급여집계표명이 있다면, 그 서류의 이름을 기재 부탁 드립니다.</t>
  </si>
  <si>
    <t>회사에서 사용하는 연차수당계산파일명이 있다면, 그 서류의 이름을 기재 부탁 드립니다.</t>
  </si>
  <si>
    <t>회사에서 사용하는 외부아웃소싱업체명이 있다면, 그 거래처의 이름을 기재 부탁 드립니다.</t>
  </si>
  <si>
    <t>회사에서 사용하는 외부아웃소싱업체로부터 받은 급여계산파일명이 있다면, 그 서류의 이름을 기재 부탁 드립니다.</t>
  </si>
  <si>
    <t>회사에서 사용하는 급여지출결의서명이 있다면, 그 서류의 이름을 기재 부탁 드립니다.</t>
  </si>
  <si>
    <t>회사에서 사용하는 성과급지출결의서명이 있다면, 그 서류의 이름을 기재 부탁 드립니다.</t>
  </si>
  <si>
    <t>회사에서 사용하는 사외적립자산불입기안서명이 있다면, 그 서류의 이름을 기재 부탁 드립니다.</t>
  </si>
  <si>
    <t>회사에서 사용하는 인사발령품의서명이 있다면, 그 서류의 이름을 기재 부탁 드립니다.</t>
  </si>
  <si>
    <t>회사에서 사용하는 퇴직산정내역품의서명이 있다면, 그 서류의 이름을 기재 부탁 드립니다.</t>
  </si>
  <si>
    <t>회사에서 사용하는 회사의 복리후생정책이 있다면, 그 정책의 이름을 기재 부탁 드립니다.</t>
  </si>
  <si>
    <t>회사에서 사용하는 복리후생신청품의서명이 있다면, 그 서류의 이름을 기재 부탁 드립니다.</t>
  </si>
  <si>
    <t>answer</t>
  </si>
  <si>
    <t>example</t>
  </si>
  <si>
    <t>examplelink</t>
  </si>
  <si>
    <t>input</t>
  </si>
  <si>
    <t>inputlink</t>
  </si>
  <si>
    <t>mainprocess</t>
  </si>
  <si>
    <t>question</t>
  </si>
  <si>
    <t>sub_id</t>
  </si>
  <si>
    <t>template</t>
  </si>
  <si>
    <t>templatelink</t>
  </si>
  <si>
    <t>confirm_button</t>
  </si>
  <si>
    <t>Column14</t>
  </si>
  <si>
    <t>inputs</t>
  </si>
  <si>
    <t>inputslink</t>
  </si>
  <si>
    <t>Column13</t>
  </si>
  <si>
    <t>realname</t>
  </si>
  <si>
    <t>inputslist</t>
  </si>
  <si>
    <t>photo</t>
  </si>
  <si>
    <t>photolink</t>
  </si>
  <si>
    <t>회사의 재고자산 생산은 크게 몇가지 종류로 이루어져 있나요? 포도, 오렌지, 딸기, 바나나 음료를 제조하는 업체를 예를들자면, 제품이 4개라도, 포도, 오렌지의 제조공정이 유사하고, 딸기, 바나나가 유사하다면 두 개로 구분짓고, 아래의 그림처럼 입력을 하시면 됩니다.</t>
  </si>
  <si>
    <t>textplus</t>
  </si>
  <si>
    <t>재고자산1</t>
  </si>
  <si>
    <t>해당 재고자산 생산 프로세스를 크게 몇가지 공정으로 나누어져 있나요? "공정 추가하기"를 활용하여 회사에 맞게 세팅하여 주세요</t>
  </si>
  <si>
    <t>html</t>
  </si>
  <si>
    <t>재고자산2</t>
  </si>
  <si>
    <t>전공정에서 재고가 넘어올때 어떠한 절차를 통하여 현재공정으로 넘어오나요</t>
  </si>
  <si>
    <t>재고자산3</t>
  </si>
  <si>
    <t>전공정의 output 수량과 현재공정의 input 수량을 어떤식으로 확인하나요</t>
  </si>
  <si>
    <t>재고자산4</t>
  </si>
  <si>
    <t>다음공정으로 넘길때 어떠한 절차를 통하여 다음공정으로 넘어가나요</t>
  </si>
  <si>
    <t>재고자산5</t>
  </si>
  <si>
    <t>현재공정의 output 수량과 다음공정의 input 수량을 어떤식으로 확인하나요</t>
  </si>
  <si>
    <t>재고자산6</t>
  </si>
  <si>
    <t>다음공정으로 넘길때 승인절차가 있나요</t>
  </si>
  <si>
    <t>재고자산7</t>
  </si>
  <si>
    <t>혹시 재고자산 생산과정에서 어떤 의사결정을 위해서든 의사결정을 위한 의사결정기구 같은게 있나요?(이사회, 운영위원회 등)</t>
  </si>
  <si>
    <t>decision</t>
  </si>
  <si>
    <t>재고자산8</t>
  </si>
  <si>
    <t xml:space="preserve">혹시 재고자산 생산과정에서, 사용하고 있는 시스템이 있나요? 회사 인트라넷, SAP, 메일 등을 의미하며, 여러 개를 사용하는 경우 여러 개를 추가해주시면 됩니다. </t>
  </si>
  <si>
    <t>system</t>
  </si>
  <si>
    <t>재고자산9</t>
  </si>
  <si>
    <t>구매</t>
  </si>
  <si>
    <t>회사의 구매방식은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</si>
  <si>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구매1</t>
  </si>
  <si>
    <t xml:space="preserve">해당 구매 프로세스는 어떤 팀에서 담당을 하고 있나요? </t>
  </si>
  <si>
    <t>team</t>
  </si>
  <si>
    <t>구매2</t>
  </si>
  <si>
    <t>혹시 구매과정에서 어떤 의사결정을 위해서든 의사결정을 위한 의사결정기구 같은게 있나요?(이사회, 운영위원회 등)</t>
  </si>
  <si>
    <t>구매3</t>
  </si>
  <si>
    <t xml:space="preserve">혹시 구매과정에서, 사용하고 있는 시스템이 있나요? 회사 인트라넷, SAP, 메일 등을 의미하며, 여러 개를 사용하는 경우 여러 개를 추가해주시면 됩니다. </t>
  </si>
  <si>
    <t>구매4</t>
  </si>
  <si>
    <t>currentgrade</t>
  </si>
  <si>
    <t>person_charge</t>
  </si>
  <si>
    <t>realgrade</t>
  </si>
  <si>
    <t>person_confirm</t>
  </si>
  <si>
    <t>재고</t>
  </si>
  <si>
    <t>미완성</t>
  </si>
  <si>
    <t>인사</t>
  </si>
  <si>
    <t>회사의 인사방식은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</si>
  <si>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인사1</t>
  </si>
  <si>
    <t>고정자산</t>
  </si>
  <si>
    <t>회사의 고정자산 프로세스는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</si>
  <si>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고정자산1</t>
  </si>
  <si>
    <t>재무보고</t>
  </si>
  <si>
    <t>회사의 결산프로세스는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</si>
  <si>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재무보고1</t>
  </si>
  <si>
    <t>혹시 인사프로세스에서 어떤 의사결정을 위해서든 의사결정을 위한 의사결정기구 같은게 있나요?(이사회, 운영위원회 등)</t>
  </si>
  <si>
    <t>인사2</t>
  </si>
  <si>
    <t>혹시 고정자산 프로세스에서 어떤 의사결정을 위해서든 의사결정을 위한 의사결정기구 같은게 있나요?(이사회, 운영위원회 등)</t>
  </si>
  <si>
    <t>고정자산2</t>
  </si>
  <si>
    <t>혹시 재무보고 프로세스에서 어떤 의사결정을 위해서든 의사결정을 위한 의사결정기구 같은게 있나요?(이사회, 운영위원회 등)</t>
  </si>
  <si>
    <t>매출2</t>
  </si>
  <si>
    <t>인사3</t>
    <phoneticPr fontId="18" type="noConversion"/>
  </si>
  <si>
    <t>인사4</t>
  </si>
  <si>
    <t>인사5</t>
  </si>
  <si>
    <t>인사6</t>
  </si>
  <si>
    <t>인사7</t>
  </si>
  <si>
    <t>인사8</t>
  </si>
  <si>
    <t>인사9</t>
  </si>
  <si>
    <t>인사10</t>
  </si>
  <si>
    <t>인사11</t>
  </si>
  <si>
    <t>인사12</t>
  </si>
  <si>
    <t>인사13</t>
  </si>
  <si>
    <t>인사14</t>
  </si>
  <si>
    <t>인사15</t>
  </si>
  <si>
    <t>인사16</t>
  </si>
  <si>
    <t>인사17</t>
  </si>
  <si>
    <t>인사18</t>
  </si>
  <si>
    <t>인사19</t>
  </si>
  <si>
    <t>인사20</t>
  </si>
  <si>
    <t>인사21</t>
  </si>
  <si>
    <t>인사22</t>
  </si>
  <si>
    <t>prooptionname</t>
    <phoneticPr fontId="18" type="noConversion"/>
  </si>
  <si>
    <t>인사시스템</t>
    <phoneticPr fontId="18" type="noConversion"/>
  </si>
  <si>
    <t>prooptionchange</t>
    <phoneticPr fontId="18" type="noConversion"/>
  </si>
  <si>
    <t>prooptionchange</t>
    <phoneticPr fontId="18" type="noConversion"/>
  </si>
  <si>
    <t>prooptionname</t>
    <phoneticPr fontId="18" type="noConversion"/>
  </si>
  <si>
    <t>id</t>
    <phoneticPr fontId="18" type="noConversion"/>
  </si>
  <si>
    <t>아웃소싱급여계산내역명</t>
  </si>
  <si>
    <t>채용 및 인사평가</t>
  </si>
  <si>
    <t>^{인사계획문서}^ 작성</t>
  </si>
  <si>
    <t>^{채용요청서}^ 작성</t>
  </si>
  <si>
    <t>인사평가기준 업데이트</t>
  </si>
  <si>
    <t>^{승급추천서}^ 작성</t>
  </si>
  <si>
    <t>^{인사변경품의서}^ 작성</t>
  </si>
  <si>
    <t>임직원 현황 업데이트</t>
  </si>
  <si>
    <t>dtype</t>
    <phoneticPr fontId="18" type="noConversion"/>
  </si>
  <si>
    <t>basic</t>
    <phoneticPr fontId="18" type="noConversion"/>
  </si>
  <si>
    <t>mainprocess</t>
    <phoneticPr fontId="18" type="noConversion"/>
  </si>
  <si>
    <t>인사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</si>
</sst>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  <font>
      <sz val="10"/>
      <color indexed="81"/>
      <name val="Tahoma"/>
      <family val="2"/>
    </font>
    <font>
      <b/>
      <sz val="9"/>
      <color theme="1"/>
      <name val="맑은 고딕"/>
      <family val="3"/>
      <charset val="129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13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33" borderId="0" xfId="0" applyFill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>
      <alignment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quotePrefix="1" applyBorder="1" applyAlignment="1">
      <alignment horizontal="center" vertical="center"/>
    </xf>
    <xf numFmtId="0" fontId="0" fillId="0" borderId="0" xfId="0" quotePrefix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2" fillId="0" borderId="0" xfId="0" applyFont="1">
      <alignment vertical="center"/>
    </xf>
    <xf numFmtId="0" fontId="23" fillId="0" borderId="10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0" fillId="37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7" borderId="11" xfId="0" applyFill="1" applyBorder="1" applyAlignment="1">
      <alignment horizontal="center" vertical="center"/>
    </xf>
    <xf numFmtId="0" fontId="0" fillId="38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39" borderId="10" xfId="0" applyFill="1" applyBorder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0" borderId="0" xfId="0" applyFill="1" applyBorder="1" applyAlignment="1">
      <alignment horizontal="center" vertical="center"/>
    </xf>
    <xf numFmtId="0" fontId="0" fillId="40" borderId="10" xfId="0" applyFill="1" applyBorder="1">
      <alignment vertical="center"/>
    </xf>
    <xf numFmtId="0" fontId="0" fillId="41" borderId="0" xfId="0" applyFill="1">
      <alignment vertical="center"/>
    </xf>
    <xf numFmtId="0" fontId="25" fillId="43" borderId="0" xfId="0" applyFont="1" applyFill="1">
      <alignment vertical="center"/>
    </xf>
    <xf numFmtId="0" fontId="0" fillId="44" borderId="0" xfId="0" applyFill="1">
      <alignment vertical="center"/>
    </xf>
    <xf numFmtId="0" fontId="0" fillId="33" borderId="0" xfId="0" applyFill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22" fillId="40" borderId="10" xfId="0" applyFont="1" applyFill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35" borderId="10" xfId="0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quotePrefix="1" applyBorder="1" applyAlignment="1">
      <alignment vertical="center" wrapText="1"/>
    </xf>
    <xf numFmtId="0" fontId="0" fillId="0" borderId="10" xfId="0" applyFill="1" applyBorder="1" applyAlignment="1">
      <alignment vertical="center" wrapText="1"/>
    </xf>
    <xf numFmtId="0" fontId="0" fillId="0" borderId="10" xfId="0" quotePrefix="1" applyFill="1" applyBorder="1" applyAlignment="1">
      <alignment vertical="center" wrapText="1"/>
    </xf>
    <xf numFmtId="0" fontId="0" fillId="33" borderId="10" xfId="0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24" fillId="42" borderId="0" xfId="0" applyFont="1" applyFill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0" xfId="0" applyAlignment="1">
      <alignment horizontal="right" vertical="center"/>
    </xf>
    <xf numFmtId="0" fontId="0" fillId="40" borderId="10" xfId="0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0" fillId="44" borderId="0" xfId="0" applyFill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45" borderId="0" xfId="0" applyFill="1">
      <alignment vertical="center"/>
    </xf>
    <xf numFmtId="0" fontId="22" fillId="45" borderId="0" xfId="0" applyFont="1" applyFill="1">
      <alignment vertical="center"/>
    </xf>
    <xf numFmtId="0" fontId="22" fillId="45" borderId="0" xfId="0" applyFont="1" applyFill="1" applyAlignment="1">
      <alignment horizontal="right" vertical="center"/>
    </xf>
    <xf numFmtId="0" fontId="0" fillId="44" borderId="0" xfId="0" applyFill="1" applyAlignment="1">
      <alignment vertical="center" wrapText="1"/>
    </xf>
    <xf numFmtId="0" fontId="0" fillId="44" borderId="10" xfId="0" applyFill="1" applyBorder="1" applyAlignment="1">
      <alignment horizontal="center" vertical="center" wrapText="1"/>
    </xf>
    <xf numFmtId="0" fontId="0" fillId="44" borderId="10" xfId="0" applyFill="1" applyBorder="1" applyAlignment="1">
      <alignment vertical="center" wrapText="1"/>
    </xf>
    <xf numFmtId="0" fontId="0" fillId="44" borderId="10" xfId="0" quotePrefix="1" applyFill="1" applyBorder="1" applyAlignment="1">
      <alignment vertical="center" wrapText="1"/>
    </xf>
    <xf numFmtId="0" fontId="0" fillId="33" borderId="10" xfId="0" quotePrefix="1" applyFill="1" applyBorder="1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Alignment="1">
      <alignment horizontal="right"/>
    </xf>
    <xf numFmtId="0" fontId="0" fillId="40" borderId="0" xfId="0" applyFill="1" applyAlignment="1">
      <alignment horizontal="center" vertical="center"/>
    </xf>
    <xf numFmtId="0" fontId="0" fillId="46" borderId="0" xfId="0" applyFill="1">
      <alignment vertical="center"/>
    </xf>
    <xf numFmtId="0" fontId="0" fillId="0" borderId="10" xfId="0" quotePrefix="1" applyBorder="1" applyAlignment="1">
      <alignment horizontal="left" vertical="top" wrapText="1"/>
    </xf>
    <xf numFmtId="0" fontId="0" fillId="36" borderId="0" xfId="0" applyFill="1">
      <alignment vertical="center"/>
    </xf>
    <xf numFmtId="0" fontId="0" fillId="37" borderId="0" xfId="0" applyFill="1" applyAlignment="1">
      <alignment horizontal="left" vertical="center"/>
    </xf>
    <xf numFmtId="0" fontId="0" fillId="38" borderId="0" xfId="0" applyFill="1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>
      <alignment vertical="center"/>
    </xf>
    <xf numFmtId="0" fontId="23" fillId="0" borderId="0" xfId="0" applyFont="1">
      <alignment vertical="center"/>
    </xf>
    <xf numFmtId="0" fontId="0" fillId="47" borderId="10" xfId="0" applyFill="1" applyBorder="1" applyAlignment="1">
      <alignment vertical="center" wrapText="1"/>
    </xf>
    <xf numFmtId="0" fontId="0" fillId="47" borderId="0" xfId="0" applyFill="1" applyAlignment="1">
      <alignment vertical="center" wrapText="1"/>
    </xf>
    <xf numFmtId="0" fontId="0" fillId="47" borderId="0" xfId="0" applyFill="1" applyAlignment="1">
      <alignment horizontal="center" vertical="center" wrapText="1"/>
    </xf>
    <xf numFmtId="0" fontId="0" fillId="47" borderId="10" xfId="0" applyFill="1" applyBorder="1" applyAlignment="1">
      <alignment horizontal="center" vertical="center" wrapText="1"/>
    </xf>
    <xf numFmtId="0" fontId="0" fillId="47" borderId="10" xfId="0" quotePrefix="1" applyFill="1" applyBorder="1" applyAlignment="1">
      <alignment vertical="center" wrapText="1"/>
    </xf>
    <xf numFmtId="0" fontId="22" fillId="47" borderId="10" xfId="0" applyFont="1" applyFill="1" applyBorder="1" applyAlignment="1">
      <alignment vertical="center" wrapText="1"/>
    </xf>
    <xf numFmtId="0" fontId="0" fillId="41" borderId="10" xfId="0" applyFill="1" applyBorder="1" applyAlignment="1">
      <alignment horizontal="center" vertical="center" wrapText="1"/>
    </xf>
    <xf numFmtId="0" fontId="0" fillId="41" borderId="10" xfId="0" applyFill="1" applyBorder="1" applyAlignment="1">
      <alignment vertical="center" wrapText="1"/>
    </xf>
    <xf numFmtId="0" fontId="0" fillId="41" borderId="10" xfId="0" quotePrefix="1" applyFill="1" applyBorder="1" applyAlignment="1">
      <alignment vertical="center" wrapText="1"/>
    </xf>
    <xf numFmtId="0" fontId="0" fillId="41" borderId="21" xfId="0" applyFill="1" applyBorder="1" applyAlignment="1">
      <alignment vertical="center" wrapText="1"/>
    </xf>
    <xf numFmtId="0" fontId="0" fillId="41" borderId="22" xfId="0" applyFill="1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22" fillId="41" borderId="25" xfId="0" applyFont="1" applyFill="1" applyBorder="1" applyAlignment="1">
      <alignment vertical="center" wrapText="1"/>
    </xf>
    <xf numFmtId="0" fontId="22" fillId="41" borderId="26" xfId="0" applyFont="1" applyFill="1" applyBorder="1" applyAlignment="1">
      <alignment vertical="center" wrapText="1"/>
    </xf>
    <xf numFmtId="0" fontId="22" fillId="47" borderId="0" xfId="0" applyFont="1" applyFill="1" applyBorder="1" applyAlignment="1">
      <alignment vertical="center" wrapText="1"/>
    </xf>
    <xf numFmtId="0" fontId="0" fillId="0" borderId="10" xfId="0" quotePrefix="1" applyFill="1" applyBorder="1" applyAlignment="1">
      <alignment horizontal="left" vertical="center" wrapText="1"/>
    </xf>
    <xf numFmtId="0" fontId="0" fillId="48" borderId="0" xfId="0" applyFill="1" applyAlignment="1">
      <alignment vertical="center" wrapText="1"/>
    </xf>
    <xf numFmtId="0" fontId="0" fillId="48" borderId="0" xfId="0" applyFill="1" applyAlignment="1">
      <alignment horizontal="center" vertical="center" wrapText="1"/>
    </xf>
    <xf numFmtId="0" fontId="0" fillId="48" borderId="10" xfId="0" applyFill="1" applyBorder="1" applyAlignment="1">
      <alignment horizontal="center" vertical="center" wrapText="1"/>
    </xf>
    <xf numFmtId="0" fontId="0" fillId="48" borderId="10" xfId="0" applyFill="1" applyBorder="1" applyAlignment="1">
      <alignment vertical="center" wrapText="1"/>
    </xf>
    <xf numFmtId="0" fontId="0" fillId="48" borderId="10" xfId="0" quotePrefix="1" applyFill="1" applyBorder="1" applyAlignment="1">
      <alignment vertical="center" wrapText="1"/>
    </xf>
    <xf numFmtId="0" fontId="19" fillId="34" borderId="10" xfId="0" applyFont="1" applyFill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2" fillId="0" borderId="0" xfId="0" applyFont="1" applyFill="1">
      <alignment vertical="center"/>
    </xf>
    <xf numFmtId="0" fontId="0" fillId="49" borderId="0" xfId="0" applyFill="1">
      <alignment vertical="center"/>
    </xf>
    <xf numFmtId="0" fontId="22" fillId="49" borderId="0" xfId="0" applyFont="1" applyFill="1">
      <alignment vertical="center"/>
    </xf>
    <xf numFmtId="0" fontId="0" fillId="45" borderId="0" xfId="0" applyFill="1" applyAlignment="1">
      <alignment horizontal="center" vertical="center" wrapText="1"/>
    </xf>
    <xf numFmtId="0" fontId="0" fillId="40" borderId="10" xfId="0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vas2/gobstart/&#45936;&#51060;&#53552;/processdata_2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data_2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5043-2BB2-4EFB-BA22-B534EC083B28}">
  <sheetPr codeName="Sheet1"/>
  <dimension ref="A2:K68"/>
  <sheetViews>
    <sheetView topLeftCell="A27" zoomScale="80" zoomScaleNormal="80" workbookViewId="0">
      <selection activeCell="K48" sqref="K48"/>
    </sheetView>
  </sheetViews>
  <sheetFormatPr defaultRowHeight="17.399999999999999"/>
  <cols>
    <col min="1" max="1" width="2.69921875" customWidth="1"/>
    <col min="2" max="2" width="23.19921875" customWidth="1"/>
    <col min="3" max="3" width="6.296875" customWidth="1"/>
    <col min="4" max="4" width="39.3984375" style="11" customWidth="1"/>
    <col min="5" max="5" width="4.09765625" style="11" customWidth="1"/>
    <col min="6" max="6" width="22.3984375" style="11" customWidth="1"/>
    <col min="7" max="7" width="4.09765625" customWidth="1"/>
    <col min="8" max="8" width="24.8984375" customWidth="1"/>
    <col min="9" max="9" width="4.59765625" customWidth="1"/>
    <col min="10" max="10" width="2.69921875" customWidth="1"/>
    <col min="21" max="21" width="22.19921875" customWidth="1"/>
  </cols>
  <sheetData>
    <row r="2" spans="2:8" ht="18" thickBot="1">
      <c r="B2" s="18" t="s">
        <v>169</v>
      </c>
    </row>
    <row r="3" spans="2:8" ht="18" thickBot="1">
      <c r="D3" s="10"/>
      <c r="F3" s="23" t="s">
        <v>153</v>
      </c>
    </row>
    <row r="4" spans="2:8" ht="18" thickBot="1">
      <c r="D4" s="10"/>
    </row>
    <row r="5" spans="2:8" ht="18" thickBot="1">
      <c r="D5" s="16" t="s">
        <v>154</v>
      </c>
      <c r="F5" s="16" t="s">
        <v>160</v>
      </c>
      <c r="H5" s="16" t="s">
        <v>159</v>
      </c>
    </row>
    <row r="6" spans="2:8">
      <c r="D6" s="12"/>
    </row>
    <row r="7" spans="2:8">
      <c r="D7" s="21" t="s">
        <v>155</v>
      </c>
      <c r="F7" s="22" t="s">
        <v>161</v>
      </c>
      <c r="H7" s="10"/>
    </row>
    <row r="8" spans="2:8">
      <c r="D8" s="10"/>
    </row>
    <row r="9" spans="2:8">
      <c r="D9" s="22" t="s">
        <v>158</v>
      </c>
      <c r="F9" s="22" t="s">
        <v>162</v>
      </c>
    </row>
    <row r="11" spans="2:8">
      <c r="D11" s="21" t="s">
        <v>157</v>
      </c>
      <c r="F11" s="22" t="s">
        <v>163</v>
      </c>
    </row>
    <row r="12" spans="2:8">
      <c r="D12" s="13"/>
    </row>
    <row r="13" spans="2:8">
      <c r="F13" s="22" t="s">
        <v>164</v>
      </c>
    </row>
    <row r="14" spans="2:8" ht="18" thickBot="1"/>
    <row r="15" spans="2:8" ht="18" thickBot="1">
      <c r="D15" s="10"/>
      <c r="F15" s="23" t="s">
        <v>165</v>
      </c>
    </row>
    <row r="16" spans="2:8" ht="18" thickBot="1"/>
    <row r="17" spans="2:8" ht="18.600000000000001" thickTop="1" thickBot="1">
      <c r="F17" s="24" t="s">
        <v>166</v>
      </c>
      <c r="H17" s="17" t="s">
        <v>156</v>
      </c>
    </row>
    <row r="18" spans="2:8" ht="18" thickBot="1">
      <c r="D18" s="10"/>
      <c r="F18" s="14"/>
    </row>
    <row r="19" spans="2:8" ht="18" thickBot="1">
      <c r="F19" s="24" t="s">
        <v>167</v>
      </c>
    </row>
    <row r="20" spans="2:8" ht="18" thickBot="1"/>
    <row r="21" spans="2:8" ht="18" thickBot="1">
      <c r="D21" s="15"/>
      <c r="F21" s="24" t="s">
        <v>168</v>
      </c>
    </row>
    <row r="24" spans="2:8" ht="18" thickBot="1">
      <c r="B24" s="18" t="s">
        <v>145</v>
      </c>
    </row>
    <row r="25" spans="2:8" ht="18" thickBot="1">
      <c r="D25" s="16" t="s">
        <v>170</v>
      </c>
      <c r="F25" s="16" t="s">
        <v>171</v>
      </c>
      <c r="H25" s="16" t="s">
        <v>172</v>
      </c>
    </row>
    <row r="27" spans="2:8">
      <c r="D27" s="9" t="s">
        <v>173</v>
      </c>
      <c r="F27" s="19" t="s">
        <v>178</v>
      </c>
      <c r="H27" s="9" t="s">
        <v>182</v>
      </c>
    </row>
    <row r="28" spans="2:8">
      <c r="H28" s="2"/>
    </row>
    <row r="29" spans="2:8">
      <c r="D29" s="9" t="s">
        <v>174</v>
      </c>
      <c r="F29" s="9" t="s">
        <v>179</v>
      </c>
      <c r="H29" s="9" t="s">
        <v>183</v>
      </c>
    </row>
    <row r="30" spans="2:8">
      <c r="H30" s="2"/>
    </row>
    <row r="31" spans="2:8">
      <c r="D31" s="9" t="s">
        <v>175</v>
      </c>
      <c r="F31" s="10"/>
      <c r="H31" s="9" t="s">
        <v>184</v>
      </c>
    </row>
    <row r="33" spans="1:11">
      <c r="D33" s="9" t="s">
        <v>176</v>
      </c>
      <c r="F33" s="10"/>
    </row>
    <row r="34" spans="1:11" ht="18" thickBot="1"/>
    <row r="35" spans="1:11" ht="18.600000000000001" thickTop="1" thickBot="1">
      <c r="B35" s="9" t="s">
        <v>177</v>
      </c>
      <c r="D35" s="17" t="s">
        <v>180</v>
      </c>
      <c r="F35" s="17" t="s">
        <v>181</v>
      </c>
      <c r="K35" t="s">
        <v>250</v>
      </c>
    </row>
    <row r="36" spans="1:11" ht="18" thickTop="1"/>
    <row r="39" spans="1:11" ht="18" thickBot="1">
      <c r="A39">
        <v>3</v>
      </c>
      <c r="B39" s="18" t="s">
        <v>147</v>
      </c>
      <c r="D39" s="26" t="s">
        <v>211</v>
      </c>
      <c r="F39" s="11" t="s">
        <v>212</v>
      </c>
      <c r="H39" t="s">
        <v>213</v>
      </c>
    </row>
    <row r="40" spans="1:11" ht="18" thickBot="1">
      <c r="D40" s="16" t="s">
        <v>185</v>
      </c>
      <c r="E40" s="10"/>
      <c r="F40" s="16" t="s">
        <v>186</v>
      </c>
      <c r="G40" s="2"/>
      <c r="H40" s="16" t="s">
        <v>187</v>
      </c>
    </row>
    <row r="42" spans="1:11">
      <c r="C42" t="s">
        <v>214</v>
      </c>
      <c r="D42" s="27" t="s">
        <v>188</v>
      </c>
      <c r="F42" s="11" t="s">
        <v>191</v>
      </c>
      <c r="H42" s="20" t="s">
        <v>192</v>
      </c>
    </row>
    <row r="44" spans="1:11">
      <c r="C44" t="s">
        <v>215</v>
      </c>
      <c r="D44" s="9" t="s">
        <v>235</v>
      </c>
      <c r="F44" s="9" t="s">
        <v>191</v>
      </c>
      <c r="H44" s="20" t="s">
        <v>193</v>
      </c>
    </row>
    <row r="46" spans="1:11">
      <c r="C46" t="s">
        <v>216</v>
      </c>
      <c r="D46" s="9" t="s">
        <v>189</v>
      </c>
      <c r="F46" s="9" t="s">
        <v>189</v>
      </c>
    </row>
    <row r="48" spans="1:11">
      <c r="C48" t="s">
        <v>217</v>
      </c>
      <c r="D48" s="9" t="s">
        <v>190</v>
      </c>
      <c r="F48" s="9" t="s">
        <v>190</v>
      </c>
    </row>
    <row r="49" spans="1:11" ht="18" thickBot="1">
      <c r="D49" s="30" t="s">
        <v>228</v>
      </c>
    </row>
    <row r="50" spans="1:11" ht="18.600000000000001" thickTop="1" thickBot="1">
      <c r="D50" s="30" t="s">
        <v>236</v>
      </c>
      <c r="F50" s="17" t="s">
        <v>180</v>
      </c>
      <c r="H50" s="25"/>
    </row>
    <row r="51" spans="1:11" ht="18" thickTop="1">
      <c r="D51" s="14"/>
    </row>
    <row r="53" spans="1:11" ht="18" thickBot="1">
      <c r="A53">
        <v>4</v>
      </c>
      <c r="B53" s="18" t="s">
        <v>206</v>
      </c>
    </row>
    <row r="54" spans="1:11" ht="18" thickBot="1">
      <c r="D54" s="16" t="s">
        <v>199</v>
      </c>
      <c r="F54" s="16" t="s">
        <v>200</v>
      </c>
      <c r="H54" s="16" t="s">
        <v>149</v>
      </c>
    </row>
    <row r="55" spans="1:11">
      <c r="D55" s="10"/>
    </row>
    <row r="56" spans="1:11">
      <c r="D56" s="9" t="s">
        <v>195</v>
      </c>
      <c r="F56" s="9" t="s">
        <v>201</v>
      </c>
      <c r="H56" s="20" t="s">
        <v>207</v>
      </c>
    </row>
    <row r="58" spans="1:11">
      <c r="D58" s="9" t="s">
        <v>196</v>
      </c>
      <c r="F58" s="9" t="s">
        <v>202</v>
      </c>
      <c r="H58" s="20" t="s">
        <v>208</v>
      </c>
    </row>
    <row r="60" spans="1:11">
      <c r="D60" s="9" t="s">
        <v>197</v>
      </c>
      <c r="F60" s="9" t="s">
        <v>205</v>
      </c>
      <c r="H60" s="9" t="s">
        <v>203</v>
      </c>
    </row>
    <row r="61" spans="1:11">
      <c r="I61" s="8"/>
      <c r="J61" s="8"/>
      <c r="K61" s="8"/>
    </row>
    <row r="62" spans="1:11">
      <c r="D62" s="9" t="s">
        <v>210</v>
      </c>
      <c r="F62" s="9" t="s">
        <v>203</v>
      </c>
      <c r="H62" s="9" t="s">
        <v>209</v>
      </c>
      <c r="I62" s="8"/>
      <c r="J62" s="8"/>
      <c r="K62" s="8"/>
    </row>
    <row r="63" spans="1:11">
      <c r="I63" s="8"/>
      <c r="J63" s="8"/>
      <c r="K63" s="8"/>
    </row>
    <row r="64" spans="1:11">
      <c r="D64" s="9" t="s">
        <v>198</v>
      </c>
      <c r="F64" s="9" t="s">
        <v>204</v>
      </c>
      <c r="I64" s="8"/>
      <c r="J64" s="8"/>
      <c r="K64" s="8"/>
    </row>
    <row r="65" spans="4:11" ht="18" thickBot="1">
      <c r="I65" s="8"/>
      <c r="J65" s="8"/>
      <c r="K65" s="8"/>
    </row>
    <row r="66" spans="4:11" ht="18.600000000000001" thickTop="1" thickBot="1">
      <c r="D66" s="17" t="s">
        <v>194</v>
      </c>
      <c r="F66" s="17" t="s">
        <v>180</v>
      </c>
      <c r="I66" s="8"/>
      <c r="J66" s="8"/>
      <c r="K66" s="8"/>
    </row>
    <row r="67" spans="4:11" ht="18" thickTop="1">
      <c r="I67" s="8"/>
      <c r="J67" s="8" t="s">
        <v>248</v>
      </c>
      <c r="K67" s="8"/>
    </row>
    <row r="68" spans="4:11">
      <c r="I68" s="8"/>
      <c r="J68" s="8"/>
      <c r="K68" s="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137FF-FC70-4755-8F60-A3582610FE1C}">
  <sheetPr codeName="Sheet2">
    <tabColor rgb="FF002060"/>
  </sheetPr>
  <dimension ref="B2:N66"/>
  <sheetViews>
    <sheetView workbookViewId="0">
      <selection activeCell="N4" sqref="N4"/>
    </sheetView>
  </sheetViews>
  <sheetFormatPr defaultRowHeight="17.399999999999999"/>
  <cols>
    <col min="1" max="1" width="3" customWidth="1"/>
    <col min="2" max="2" width="2.796875" customWidth="1"/>
    <col min="3" max="3" width="16.296875" customWidth="1"/>
    <col min="4" max="4" width="18.5" customWidth="1"/>
    <col min="5" max="5" width="3.3984375" customWidth="1"/>
    <col min="6" max="6" width="19.19921875" bestFit="1" customWidth="1"/>
    <col min="7" max="7" width="3.5" customWidth="1"/>
    <col min="8" max="8" width="21.3984375" customWidth="1"/>
    <col min="14" max="14" width="10.3984375" customWidth="1"/>
  </cols>
  <sheetData>
    <row r="2" spans="2:14" ht="18" thickBot="1">
      <c r="B2" s="18" t="s">
        <v>169</v>
      </c>
      <c r="D2" s="75" t="s">
        <v>399</v>
      </c>
      <c r="F2" t="s">
        <v>400</v>
      </c>
      <c r="N2" t="s">
        <v>249</v>
      </c>
    </row>
    <row r="3" spans="2:14" ht="18" thickBot="1">
      <c r="D3" s="76" t="s">
        <v>401</v>
      </c>
      <c r="F3" s="23" t="s">
        <v>153</v>
      </c>
      <c r="N3" t="s">
        <v>123</v>
      </c>
    </row>
    <row r="4" spans="2:14">
      <c r="D4" s="77" t="s">
        <v>402</v>
      </c>
      <c r="N4" t="s">
        <v>227</v>
      </c>
    </row>
    <row r="5" spans="2:14" ht="18" thickBot="1">
      <c r="D5" s="7" t="s">
        <v>403</v>
      </c>
      <c r="F5" t="s">
        <v>404</v>
      </c>
      <c r="H5" t="s">
        <v>405</v>
      </c>
    </row>
    <row r="6" spans="2:14" ht="18" thickBot="1">
      <c r="D6" s="16" t="s">
        <v>154</v>
      </c>
      <c r="F6" s="16" t="s">
        <v>160</v>
      </c>
      <c r="H6" s="16" t="s">
        <v>159</v>
      </c>
      <c r="N6" t="s">
        <v>229</v>
      </c>
    </row>
    <row r="7" spans="2:14">
      <c r="D7" s="78"/>
      <c r="N7" t="s">
        <v>230</v>
      </c>
    </row>
    <row r="8" spans="2:14">
      <c r="C8" s="57" t="s">
        <v>214</v>
      </c>
      <c r="D8" s="21" t="s">
        <v>155</v>
      </c>
      <c r="E8" s="57" t="s">
        <v>214</v>
      </c>
      <c r="F8" s="22" t="s">
        <v>388</v>
      </c>
      <c r="H8" s="2"/>
      <c r="N8" t="s">
        <v>243</v>
      </c>
    </row>
    <row r="9" spans="2:14">
      <c r="C9" s="57"/>
      <c r="D9" s="2"/>
      <c r="E9" s="57"/>
      <c r="N9" t="s">
        <v>244</v>
      </c>
    </row>
    <row r="10" spans="2:14">
      <c r="C10" s="57" t="s">
        <v>215</v>
      </c>
      <c r="D10" s="22" t="s">
        <v>158</v>
      </c>
      <c r="E10" s="57" t="s">
        <v>215</v>
      </c>
      <c r="F10" s="21" t="s">
        <v>162</v>
      </c>
    </row>
    <row r="11" spans="2:14">
      <c r="C11" s="57"/>
      <c r="E11" s="57"/>
    </row>
    <row r="12" spans="2:14">
      <c r="C12" s="57" t="s">
        <v>216</v>
      </c>
      <c r="D12" s="21" t="s">
        <v>157</v>
      </c>
      <c r="E12" s="57" t="s">
        <v>216</v>
      </c>
      <c r="F12" s="22" t="s">
        <v>163</v>
      </c>
    </row>
    <row r="13" spans="2:14">
      <c r="D13" s="79"/>
      <c r="E13" s="57"/>
    </row>
    <row r="14" spans="2:14">
      <c r="E14" s="57" t="s">
        <v>217</v>
      </c>
      <c r="F14" s="22" t="s">
        <v>164</v>
      </c>
    </row>
    <row r="15" spans="2:14" ht="18" thickBot="1">
      <c r="E15" s="57"/>
    </row>
    <row r="16" spans="2:14" ht="18" thickBot="1">
      <c r="D16" s="2"/>
      <c r="E16" s="57" t="s">
        <v>288</v>
      </c>
      <c r="F16" s="23" t="s">
        <v>165</v>
      </c>
    </row>
    <row r="17" spans="3:9" ht="18" thickBot="1">
      <c r="E17" s="57"/>
    </row>
    <row r="18" spans="3:9" ht="18.600000000000001" thickTop="1" thickBot="1">
      <c r="E18" s="57" t="s">
        <v>289</v>
      </c>
      <c r="F18" s="24" t="s">
        <v>166</v>
      </c>
      <c r="H18" s="17" t="s">
        <v>156</v>
      </c>
    </row>
    <row r="19" spans="3:9" ht="18" thickBot="1">
      <c r="D19" s="2"/>
      <c r="E19" s="57"/>
    </row>
    <row r="20" spans="3:9" ht="18" thickBot="1">
      <c r="E20" s="57" t="s">
        <v>406</v>
      </c>
      <c r="F20" s="24" t="s">
        <v>167</v>
      </c>
    </row>
    <row r="21" spans="3:9" ht="18" thickBot="1">
      <c r="E21" s="57"/>
    </row>
    <row r="22" spans="3:9" ht="18" thickBot="1">
      <c r="D22" s="7"/>
      <c r="E22" s="57" t="s">
        <v>407</v>
      </c>
      <c r="F22" s="24" t="s">
        <v>168</v>
      </c>
    </row>
    <row r="24" spans="3:9" s="33" customFormat="1"/>
    <row r="26" spans="3:9">
      <c r="D26" s="18" t="s">
        <v>400</v>
      </c>
    </row>
    <row r="27" spans="3:9">
      <c r="D27" t="s">
        <v>153</v>
      </c>
    </row>
    <row r="28" spans="3:9">
      <c r="D28" t="s">
        <v>408</v>
      </c>
    </row>
    <row r="29" spans="3:9">
      <c r="C29" t="s">
        <v>409</v>
      </c>
      <c r="D29" t="s">
        <v>410</v>
      </c>
    </row>
    <row r="30" spans="3:9">
      <c r="C30" t="s">
        <v>411</v>
      </c>
      <c r="D30" t="s">
        <v>412</v>
      </c>
    </row>
    <row r="31" spans="3:9">
      <c r="C31" t="s">
        <v>413</v>
      </c>
      <c r="D31" s="1" t="s">
        <v>414</v>
      </c>
      <c r="E31" s="1"/>
      <c r="F31" s="1"/>
      <c r="G31" s="1"/>
      <c r="H31" s="1"/>
      <c r="I31" s="1"/>
    </row>
    <row r="33" spans="4:7">
      <c r="D33" s="18" t="s">
        <v>403</v>
      </c>
    </row>
    <row r="34" spans="4:7">
      <c r="D34" s="80" t="s">
        <v>154</v>
      </c>
    </row>
    <row r="35" spans="4:7">
      <c r="D35" t="s">
        <v>415</v>
      </c>
    </row>
    <row r="36" spans="4:7">
      <c r="D36" t="s">
        <v>416</v>
      </c>
    </row>
    <row r="37" spans="4:7">
      <c r="D37" t="s">
        <v>417</v>
      </c>
    </row>
    <row r="38" spans="4:7">
      <c r="D38" s="1" t="s">
        <v>418</v>
      </c>
      <c r="E38" s="1"/>
      <c r="F38" s="1"/>
      <c r="G38" s="1"/>
    </row>
    <row r="39" spans="4:7">
      <c r="D39" t="s">
        <v>419</v>
      </c>
    </row>
    <row r="40" spans="4:7">
      <c r="D40" t="s">
        <v>420</v>
      </c>
    </row>
    <row r="41" spans="4:7">
      <c r="D41" t="s">
        <v>421</v>
      </c>
    </row>
    <row r="42" spans="4:7">
      <c r="D42" t="s">
        <v>422</v>
      </c>
    </row>
    <row r="43" spans="4:7">
      <c r="D43" t="s">
        <v>423</v>
      </c>
    </row>
    <row r="44" spans="4:7">
      <c r="D44" t="s">
        <v>424</v>
      </c>
    </row>
    <row r="46" spans="4:7">
      <c r="D46" s="18" t="s">
        <v>404</v>
      </c>
    </row>
    <row r="47" spans="4:7">
      <c r="D47" t="s">
        <v>160</v>
      </c>
    </row>
    <row r="48" spans="4:7">
      <c r="D48" t="s">
        <v>425</v>
      </c>
    </row>
    <row r="49" spans="3:14">
      <c r="D49" t="s">
        <v>426</v>
      </c>
    </row>
    <row r="50" spans="3:14">
      <c r="D50" t="s">
        <v>427</v>
      </c>
    </row>
    <row r="51" spans="3:14">
      <c r="D51" t="s">
        <v>428</v>
      </c>
    </row>
    <row r="52" spans="3:14">
      <c r="D52" t="s">
        <v>429</v>
      </c>
    </row>
    <row r="53" spans="3:14">
      <c r="D53" t="s">
        <v>430</v>
      </c>
    </row>
    <row r="54" spans="3:14">
      <c r="D54" t="s">
        <v>431</v>
      </c>
    </row>
    <row r="55" spans="3:14">
      <c r="D55" t="s">
        <v>432</v>
      </c>
    </row>
    <row r="56" spans="3:14">
      <c r="D56" t="s">
        <v>433</v>
      </c>
    </row>
    <row r="57" spans="3:14">
      <c r="D57" t="s">
        <v>434</v>
      </c>
    </row>
    <row r="58" spans="3:14">
      <c r="C58" s="18"/>
      <c r="D58" s="80" t="s">
        <v>435</v>
      </c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3:14">
      <c r="D59" t="s">
        <v>436</v>
      </c>
    </row>
    <row r="60" spans="3:14">
      <c r="D60" t="s">
        <v>437</v>
      </c>
    </row>
    <row r="62" spans="3:14">
      <c r="D62" t="s">
        <v>405</v>
      </c>
    </row>
    <row r="63" spans="3:14">
      <c r="D63" t="s">
        <v>396</v>
      </c>
    </row>
    <row r="64" spans="3:14">
      <c r="D64" t="s">
        <v>438</v>
      </c>
    </row>
    <row r="65" spans="4:4">
      <c r="D65" t="s">
        <v>439</v>
      </c>
    </row>
    <row r="66" spans="4:4">
      <c r="D66" t="s">
        <v>440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547D-A061-4335-9514-6E7C2F3E2832}">
  <sheetPr codeName="Sheet3">
    <tabColor rgb="FF002060"/>
  </sheetPr>
  <dimension ref="A2:U74"/>
  <sheetViews>
    <sheetView topLeftCell="A24" zoomScale="80" zoomScaleNormal="80" workbookViewId="0">
      <selection activeCell="D74" sqref="D74"/>
    </sheetView>
  </sheetViews>
  <sheetFormatPr defaultRowHeight="17.399999999999999"/>
  <cols>
    <col min="2" max="2" width="13" customWidth="1"/>
    <col min="3" max="3" width="3.09765625" bestFit="1" customWidth="1"/>
    <col min="4" max="4" width="45.8984375" bestFit="1" customWidth="1"/>
    <col min="6" max="6" width="19.19921875" bestFit="1" customWidth="1"/>
    <col min="8" max="8" width="26.8984375" bestFit="1" customWidth="1"/>
  </cols>
  <sheetData>
    <row r="2" spans="2:14" ht="18" thickBot="1">
      <c r="B2" s="18" t="s">
        <v>147</v>
      </c>
      <c r="D2" s="70" t="s">
        <v>211</v>
      </c>
      <c r="F2" t="s">
        <v>212</v>
      </c>
      <c r="H2" t="s">
        <v>213</v>
      </c>
      <c r="N2" t="s">
        <v>249</v>
      </c>
    </row>
    <row r="3" spans="2:14" ht="18" thickBot="1">
      <c r="D3" s="16" t="s">
        <v>185</v>
      </c>
      <c r="E3" s="2"/>
      <c r="F3" s="16" t="s">
        <v>186</v>
      </c>
      <c r="G3" s="2"/>
      <c r="H3" s="16" t="s">
        <v>187</v>
      </c>
      <c r="N3" t="s">
        <v>227</v>
      </c>
    </row>
    <row r="4" spans="2:14">
      <c r="N4" t="s">
        <v>229</v>
      </c>
    </row>
    <row r="5" spans="2:14">
      <c r="C5" t="s">
        <v>214</v>
      </c>
      <c r="D5" s="27" t="s">
        <v>257</v>
      </c>
      <c r="E5" s="71"/>
      <c r="F5" t="s">
        <v>191</v>
      </c>
      <c r="G5" t="s">
        <v>214</v>
      </c>
      <c r="H5" s="20" t="s">
        <v>192</v>
      </c>
      <c r="N5" t="s">
        <v>230</v>
      </c>
    </row>
    <row r="6" spans="2:14">
      <c r="E6" s="71"/>
      <c r="N6" t="s">
        <v>243</v>
      </c>
    </row>
    <row r="7" spans="2:14">
      <c r="C7" t="s">
        <v>215</v>
      </c>
      <c r="D7" s="9" t="s">
        <v>235</v>
      </c>
      <c r="E7" s="71" t="s">
        <v>215</v>
      </c>
      <c r="F7" s="9" t="s">
        <v>191</v>
      </c>
      <c r="G7" t="s">
        <v>215</v>
      </c>
      <c r="H7" s="20" t="s">
        <v>193</v>
      </c>
      <c r="N7" t="s">
        <v>244</v>
      </c>
    </row>
    <row r="8" spans="2:14">
      <c r="E8" s="71"/>
    </row>
    <row r="9" spans="2:14">
      <c r="C9" t="s">
        <v>216</v>
      </c>
      <c r="D9" s="9" t="s">
        <v>189</v>
      </c>
      <c r="E9" s="71" t="s">
        <v>216</v>
      </c>
      <c r="F9" s="9" t="s">
        <v>189</v>
      </c>
    </row>
    <row r="10" spans="2:14">
      <c r="E10" s="71"/>
    </row>
    <row r="11" spans="2:14">
      <c r="C11" t="s">
        <v>217</v>
      </c>
      <c r="D11" s="9" t="s">
        <v>190</v>
      </c>
      <c r="E11" s="71" t="s">
        <v>217</v>
      </c>
      <c r="F11" s="9" t="s">
        <v>190</v>
      </c>
    </row>
    <row r="12" spans="2:14" ht="18" thickBot="1">
      <c r="D12" s="72" t="s">
        <v>228</v>
      </c>
    </row>
    <row r="13" spans="2:14" ht="18.600000000000001" thickTop="1" thickBot="1">
      <c r="D13" s="31" t="s">
        <v>236</v>
      </c>
      <c r="F13" s="17" t="s">
        <v>180</v>
      </c>
      <c r="H13" s="2"/>
    </row>
    <row r="14" spans="2:14" ht="18" thickTop="1"/>
    <row r="16" spans="2:14" s="33" customFormat="1"/>
    <row r="18" spans="1:14">
      <c r="D18" s="18" t="s">
        <v>275</v>
      </c>
    </row>
    <row r="19" spans="1:14">
      <c r="C19" t="s">
        <v>359</v>
      </c>
      <c r="D19" t="s">
        <v>218</v>
      </c>
      <c r="N19" t="s">
        <v>360</v>
      </c>
    </row>
    <row r="20" spans="1:14">
      <c r="A20" t="s">
        <v>333</v>
      </c>
      <c r="C20" t="s">
        <v>359</v>
      </c>
      <c r="D20" t="s">
        <v>254</v>
      </c>
    </row>
    <row r="21" spans="1:14">
      <c r="C21" t="s">
        <v>359</v>
      </c>
      <c r="D21" t="s">
        <v>255</v>
      </c>
    </row>
    <row r="22" spans="1:14">
      <c r="C22" t="s">
        <v>359</v>
      </c>
      <c r="D22" t="s">
        <v>256</v>
      </c>
    </row>
    <row r="23" spans="1:14">
      <c r="C23" t="s">
        <v>359</v>
      </c>
      <c r="D23" t="s">
        <v>219</v>
      </c>
    </row>
    <row r="24" spans="1:14">
      <c r="A24" t="s">
        <v>252</v>
      </c>
      <c r="C24" t="s">
        <v>359</v>
      </c>
      <c r="D24" t="s">
        <v>221</v>
      </c>
    </row>
    <row r="25" spans="1:14">
      <c r="C25" t="s">
        <v>359</v>
      </c>
      <c r="D25" t="s">
        <v>222</v>
      </c>
    </row>
    <row r="27" spans="1:14">
      <c r="A27" t="s">
        <v>253</v>
      </c>
      <c r="C27" t="s">
        <v>359</v>
      </c>
      <c r="D27" t="s">
        <v>220</v>
      </c>
    </row>
    <row r="28" spans="1:14">
      <c r="C28" t="s">
        <v>359</v>
      </c>
      <c r="D28" t="s">
        <v>223</v>
      </c>
    </row>
    <row r="29" spans="1:14">
      <c r="C29" t="s">
        <v>359</v>
      </c>
      <c r="D29" t="s">
        <v>231</v>
      </c>
    </row>
    <row r="30" spans="1:14">
      <c r="D30" t="s">
        <v>224</v>
      </c>
    </row>
    <row r="31" spans="1:14">
      <c r="D31" t="s">
        <v>232</v>
      </c>
    </row>
    <row r="33" spans="1:4">
      <c r="A33" t="s">
        <v>332</v>
      </c>
      <c r="C33" t="s">
        <v>359</v>
      </c>
      <c r="D33" t="s">
        <v>225</v>
      </c>
    </row>
    <row r="34" spans="1:4">
      <c r="C34" t="s">
        <v>359</v>
      </c>
      <c r="D34" t="s">
        <v>226</v>
      </c>
    </row>
    <row r="35" spans="1:4">
      <c r="D35" t="s">
        <v>233</v>
      </c>
    </row>
    <row r="37" spans="1:4">
      <c r="A37" t="s">
        <v>271</v>
      </c>
      <c r="C37" t="s">
        <v>359</v>
      </c>
      <c r="D37" t="s">
        <v>234</v>
      </c>
    </row>
    <row r="39" spans="1:4">
      <c r="C39" t="s">
        <v>359</v>
      </c>
      <c r="D39" s="32" t="s">
        <v>258</v>
      </c>
    </row>
    <row r="40" spans="1:4">
      <c r="A40" t="s">
        <v>269</v>
      </c>
      <c r="C40" t="s">
        <v>359</v>
      </c>
      <c r="D40" s="32" t="s">
        <v>259</v>
      </c>
    </row>
    <row r="41" spans="1:4">
      <c r="C41" t="s">
        <v>359</v>
      </c>
      <c r="D41" t="s">
        <v>260</v>
      </c>
    </row>
    <row r="42" spans="1:4">
      <c r="C42" t="s">
        <v>359</v>
      </c>
      <c r="D42" t="s">
        <v>264</v>
      </c>
    </row>
    <row r="43" spans="1:4">
      <c r="D43" t="s">
        <v>239</v>
      </c>
    </row>
    <row r="45" spans="1:4">
      <c r="A45" t="s">
        <v>270</v>
      </c>
      <c r="C45" t="s">
        <v>359</v>
      </c>
      <c r="D45" t="s">
        <v>272</v>
      </c>
    </row>
    <row r="47" spans="1:4">
      <c r="D47" s="29" t="s">
        <v>240</v>
      </c>
    </row>
    <row r="48" spans="1:4">
      <c r="C48" t="s">
        <v>359</v>
      </c>
      <c r="D48" s="29" t="s">
        <v>242</v>
      </c>
    </row>
    <row r="49" spans="1:21">
      <c r="C49" t="s">
        <v>359</v>
      </c>
      <c r="D49" s="29" t="s">
        <v>241</v>
      </c>
    </row>
    <row r="50" spans="1:21">
      <c r="A50" t="s">
        <v>278</v>
      </c>
      <c r="C50" t="s">
        <v>359</v>
      </c>
      <c r="D50" s="29" t="s">
        <v>245</v>
      </c>
    </row>
    <row r="51" spans="1:21">
      <c r="C51" t="s">
        <v>359</v>
      </c>
      <c r="D51" s="29" t="s">
        <v>246</v>
      </c>
    </row>
    <row r="53" spans="1:21">
      <c r="A53" s="28" t="s">
        <v>283</v>
      </c>
      <c r="B53" s="28"/>
      <c r="C53" s="28"/>
      <c r="D53" t="s">
        <v>247</v>
      </c>
    </row>
    <row r="55" spans="1:21" s="33" customFormat="1"/>
    <row r="56" spans="1:21">
      <c r="D56" s="18" t="s">
        <v>276</v>
      </c>
    </row>
    <row r="57" spans="1:21">
      <c r="A57" t="s">
        <v>261</v>
      </c>
      <c r="D57" s="49" t="s">
        <v>251</v>
      </c>
      <c r="E57" s="50"/>
      <c r="F57" s="50"/>
      <c r="G57" s="50"/>
      <c r="H57" s="50"/>
      <c r="I57" s="51"/>
    </row>
    <row r="58" spans="1:21">
      <c r="D58" s="52" t="s">
        <v>237</v>
      </c>
      <c r="I58" s="53"/>
      <c r="K58" s="63" t="s">
        <v>321</v>
      </c>
      <c r="L58" s="62"/>
      <c r="M58" s="62"/>
      <c r="N58" s="62"/>
      <c r="O58" s="62"/>
      <c r="P58" s="62"/>
      <c r="Q58" s="62"/>
      <c r="R58" s="62"/>
      <c r="S58" s="62"/>
      <c r="T58" s="62"/>
      <c r="U58" s="62"/>
    </row>
    <row r="59" spans="1:21">
      <c r="D59" s="52" t="s">
        <v>238</v>
      </c>
      <c r="I59" s="53"/>
    </row>
    <row r="60" spans="1:21">
      <c r="A60" t="s">
        <v>262</v>
      </c>
      <c r="D60" s="54" t="s">
        <v>263</v>
      </c>
      <c r="E60" s="55"/>
      <c r="F60" s="55"/>
      <c r="G60" s="55"/>
      <c r="H60" s="55"/>
      <c r="I60" s="56"/>
    </row>
    <row r="62" spans="1:21">
      <c r="A62" s="48" t="s">
        <v>265</v>
      </c>
      <c r="B62" s="48"/>
      <c r="C62" s="48"/>
      <c r="D62" s="48" t="s">
        <v>266</v>
      </c>
      <c r="E62" s="48"/>
      <c r="F62" s="48"/>
      <c r="G62" s="48"/>
      <c r="H62" s="48"/>
    </row>
    <row r="63" spans="1:21">
      <c r="A63" s="48"/>
      <c r="B63" s="48"/>
      <c r="C63" s="48"/>
      <c r="D63" s="48" t="s">
        <v>267</v>
      </c>
      <c r="E63" s="48"/>
      <c r="F63" s="48"/>
      <c r="G63" s="48"/>
      <c r="H63" s="48"/>
    </row>
    <row r="64" spans="1:21">
      <c r="A64" s="48"/>
      <c r="B64" s="48"/>
      <c r="C64" s="48"/>
      <c r="D64" s="48" t="s">
        <v>268</v>
      </c>
      <c r="E64" s="48"/>
      <c r="F64" s="48"/>
      <c r="G64" s="48"/>
      <c r="H64" s="48"/>
    </row>
    <row r="66" spans="1:4">
      <c r="A66" t="s">
        <v>273</v>
      </c>
      <c r="D66" t="s">
        <v>361</v>
      </c>
    </row>
    <row r="67" spans="1:4">
      <c r="D67" t="s">
        <v>274</v>
      </c>
    </row>
    <row r="68" spans="1:4">
      <c r="B68" s="73"/>
    </row>
    <row r="69" spans="1:4" s="33" customFormat="1"/>
    <row r="70" spans="1:4">
      <c r="D70" s="18" t="s">
        <v>277</v>
      </c>
    </row>
    <row r="71" spans="1:4">
      <c r="D71" t="s">
        <v>322</v>
      </c>
    </row>
    <row r="72" spans="1:4">
      <c r="A72" t="s">
        <v>279</v>
      </c>
      <c r="D72" t="s">
        <v>281</v>
      </c>
    </row>
    <row r="73" spans="1:4">
      <c r="A73" s="62" t="s">
        <v>280</v>
      </c>
      <c r="B73" s="62"/>
      <c r="D73" t="s">
        <v>362</v>
      </c>
    </row>
    <row r="74" spans="1:4">
      <c r="A74" t="s">
        <v>282</v>
      </c>
      <c r="D74" t="s">
        <v>363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812C1-30AF-45B4-AAEC-177E5127E38D}">
  <sheetPr codeName="Sheet4">
    <tabColor rgb="FF002060"/>
  </sheetPr>
  <dimension ref="A1:L51"/>
  <sheetViews>
    <sheetView zoomScale="80" zoomScaleNormal="80" workbookViewId="0">
      <selection activeCell="H29" sqref="H29"/>
    </sheetView>
  </sheetViews>
  <sheetFormatPr defaultRowHeight="17.399999999999999"/>
  <cols>
    <col min="1" max="1" width="25.69921875" style="57" bestFit="1" customWidth="1"/>
    <col min="2" max="2" width="2" customWidth="1"/>
    <col min="3" max="3" width="22.69921875" bestFit="1" customWidth="1"/>
    <col min="5" max="5" width="16.5" bestFit="1" customWidth="1"/>
    <col min="7" max="7" width="25.5" bestFit="1" customWidth="1"/>
  </cols>
  <sheetData>
    <row r="1" spans="1:12" ht="18" thickBot="1">
      <c r="A1" s="59" t="s">
        <v>206</v>
      </c>
      <c r="C1" s="10" t="s">
        <v>284</v>
      </c>
      <c r="D1" s="61"/>
      <c r="E1" s="10" t="s">
        <v>285</v>
      </c>
      <c r="F1" s="57"/>
      <c r="G1" s="2" t="s">
        <v>286</v>
      </c>
    </row>
    <row r="2" spans="1:12" ht="18" thickBot="1">
      <c r="C2" s="16" t="s">
        <v>199</v>
      </c>
      <c r="D2" s="61"/>
      <c r="E2" s="16" t="s">
        <v>200</v>
      </c>
      <c r="F2" s="57"/>
      <c r="G2" s="16" t="s">
        <v>149</v>
      </c>
    </row>
    <row r="3" spans="1:12">
      <c r="C3" s="10"/>
      <c r="D3" s="61"/>
      <c r="E3" s="11"/>
      <c r="F3" s="57"/>
      <c r="L3" s="18" t="s">
        <v>293</v>
      </c>
    </row>
    <row r="4" spans="1:12">
      <c r="A4" s="57" t="s">
        <v>214</v>
      </c>
      <c r="C4" s="9" t="s">
        <v>195</v>
      </c>
      <c r="D4" s="61" t="s">
        <v>214</v>
      </c>
      <c r="E4" s="9" t="s">
        <v>201</v>
      </c>
      <c r="F4" s="57" t="s">
        <v>214</v>
      </c>
      <c r="G4" s="20" t="s">
        <v>207</v>
      </c>
    </row>
    <row r="5" spans="1:12">
      <c r="C5" s="11"/>
      <c r="D5" s="61"/>
      <c r="E5" s="11"/>
      <c r="F5" s="57"/>
    </row>
    <row r="6" spans="1:12">
      <c r="A6" s="57" t="s">
        <v>292</v>
      </c>
      <c r="C6" s="58" t="s">
        <v>196</v>
      </c>
      <c r="D6" s="61" t="s">
        <v>215</v>
      </c>
      <c r="E6" s="58" t="s">
        <v>202</v>
      </c>
      <c r="F6" s="57" t="s">
        <v>215</v>
      </c>
      <c r="G6" s="20" t="s">
        <v>208</v>
      </c>
    </row>
    <row r="7" spans="1:12">
      <c r="C7" s="11"/>
      <c r="D7" s="61"/>
      <c r="E7" s="11"/>
      <c r="F7" s="57"/>
    </row>
    <row r="8" spans="1:12">
      <c r="A8" s="57" t="s">
        <v>216</v>
      </c>
      <c r="C8" s="9" t="s">
        <v>197</v>
      </c>
      <c r="D8" s="61" t="s">
        <v>216</v>
      </c>
      <c r="E8" s="58" t="s">
        <v>205</v>
      </c>
      <c r="F8" s="57" t="s">
        <v>216</v>
      </c>
      <c r="G8" s="9" t="s">
        <v>203</v>
      </c>
    </row>
    <row r="9" spans="1:12">
      <c r="C9" s="11"/>
      <c r="D9" s="61"/>
      <c r="E9" s="11"/>
      <c r="F9" s="57"/>
    </row>
    <row r="10" spans="1:12">
      <c r="A10" s="57" t="s">
        <v>217</v>
      </c>
      <c r="C10" s="58" t="s">
        <v>210</v>
      </c>
      <c r="D10" s="61" t="s">
        <v>217</v>
      </c>
      <c r="E10" s="9" t="s">
        <v>203</v>
      </c>
      <c r="F10" s="57" t="s">
        <v>217</v>
      </c>
      <c r="G10" s="9" t="s">
        <v>209</v>
      </c>
    </row>
    <row r="11" spans="1:12">
      <c r="C11" s="11"/>
      <c r="D11" s="61"/>
      <c r="E11" s="11"/>
      <c r="F11" s="57"/>
    </row>
    <row r="12" spans="1:12">
      <c r="A12" s="57" t="s">
        <v>288</v>
      </c>
      <c r="C12" s="58" t="s">
        <v>198</v>
      </c>
      <c r="D12" s="61" t="s">
        <v>288</v>
      </c>
      <c r="E12" s="9" t="s">
        <v>204</v>
      </c>
      <c r="F12" s="57"/>
    </row>
    <row r="13" spans="1:12" ht="18" thickBot="1">
      <c r="C13" s="11"/>
      <c r="D13" s="61"/>
      <c r="E13" s="11"/>
      <c r="F13" s="57"/>
    </row>
    <row r="14" spans="1:12" ht="18.600000000000001" thickTop="1" thickBot="1">
      <c r="A14" s="57" t="s">
        <v>289</v>
      </c>
      <c r="C14" s="17" t="s">
        <v>194</v>
      </c>
      <c r="D14" s="61"/>
      <c r="E14" s="17" t="s">
        <v>180</v>
      </c>
      <c r="F14" s="57"/>
    </row>
    <row r="15" spans="1:12" ht="18" thickTop="1">
      <c r="F15" s="57"/>
    </row>
    <row r="16" spans="1:12" s="34" customFormat="1">
      <c r="A16" s="60"/>
    </row>
    <row r="17" spans="1:6">
      <c r="C17" s="18" t="s">
        <v>284</v>
      </c>
    </row>
    <row r="18" spans="1:6">
      <c r="C18" t="s">
        <v>294</v>
      </c>
    </row>
    <row r="19" spans="1:6">
      <c r="C19" t="s">
        <v>295</v>
      </c>
    </row>
    <row r="20" spans="1:6">
      <c r="C20" t="s">
        <v>290</v>
      </c>
    </row>
    <row r="21" spans="1:6">
      <c r="A21" s="57" t="s">
        <v>291</v>
      </c>
      <c r="C21" t="s">
        <v>297</v>
      </c>
    </row>
    <row r="22" spans="1:6">
      <c r="C22" t="s">
        <v>296</v>
      </c>
    </row>
    <row r="23" spans="1:6">
      <c r="C23" t="s">
        <v>298</v>
      </c>
    </row>
    <row r="24" spans="1:6">
      <c r="C24" s="62" t="s">
        <v>299</v>
      </c>
      <c r="D24" s="62"/>
      <c r="E24" s="62"/>
      <c r="F24" s="62"/>
    </row>
    <row r="25" spans="1:6">
      <c r="C25" t="s">
        <v>300</v>
      </c>
    </row>
    <row r="26" spans="1:6">
      <c r="C26" t="s">
        <v>301</v>
      </c>
    </row>
    <row r="27" spans="1:6">
      <c r="A27" s="57" t="s">
        <v>291</v>
      </c>
      <c r="C27" t="s">
        <v>302</v>
      </c>
    </row>
    <row r="28" spans="1:6">
      <c r="A28" s="57" t="s">
        <v>291</v>
      </c>
      <c r="C28" t="s">
        <v>303</v>
      </c>
    </row>
    <row r="29" spans="1:6">
      <c r="A29" s="57" t="s">
        <v>291</v>
      </c>
      <c r="C29" t="s">
        <v>304</v>
      </c>
    </row>
    <row r="31" spans="1:6" s="34" customFormat="1">
      <c r="A31" s="60"/>
    </row>
    <row r="32" spans="1:6">
      <c r="C32" s="18" t="s">
        <v>285</v>
      </c>
    </row>
    <row r="33" spans="1:3">
      <c r="C33" t="s">
        <v>305</v>
      </c>
    </row>
    <row r="34" spans="1:3">
      <c r="C34" t="s">
        <v>306</v>
      </c>
    </row>
    <row r="35" spans="1:3">
      <c r="C35" t="s">
        <v>307</v>
      </c>
    </row>
    <row r="36" spans="1:3">
      <c r="A36" s="57" t="s">
        <v>308</v>
      </c>
      <c r="C36" t="s">
        <v>310</v>
      </c>
    </row>
    <row r="37" spans="1:3">
      <c r="C37" t="s">
        <v>309</v>
      </c>
    </row>
    <row r="38" spans="1:3">
      <c r="C38" t="s">
        <v>311</v>
      </c>
    </row>
    <row r="39" spans="1:3">
      <c r="A39" s="57" t="s">
        <v>319</v>
      </c>
      <c r="C39" t="s">
        <v>312</v>
      </c>
    </row>
    <row r="40" spans="1:3">
      <c r="A40" s="57" t="s">
        <v>291</v>
      </c>
      <c r="C40" t="s">
        <v>313</v>
      </c>
    </row>
    <row r="41" spans="1:3">
      <c r="C41" t="s">
        <v>314</v>
      </c>
    </row>
    <row r="42" spans="1:3">
      <c r="A42" s="57" t="s">
        <v>317</v>
      </c>
      <c r="C42" t="s">
        <v>315</v>
      </c>
    </row>
    <row r="43" spans="1:3">
      <c r="C43" t="s">
        <v>316</v>
      </c>
    </row>
    <row r="45" spans="1:3" s="34" customFormat="1">
      <c r="A45" s="60"/>
    </row>
    <row r="46" spans="1:3">
      <c r="C46" s="18" t="s">
        <v>286</v>
      </c>
    </row>
    <row r="47" spans="1:3">
      <c r="A47" s="64" t="s">
        <v>320</v>
      </c>
      <c r="C47" t="s">
        <v>318</v>
      </c>
    </row>
    <row r="48" spans="1:3">
      <c r="C48" t="s">
        <v>325</v>
      </c>
    </row>
    <row r="49" spans="1:3">
      <c r="A49" s="57" t="s">
        <v>324</v>
      </c>
      <c r="C49" t="s">
        <v>323</v>
      </c>
    </row>
    <row r="50" spans="1:3">
      <c r="A50" s="57" t="s">
        <v>327</v>
      </c>
      <c r="C50" t="s">
        <v>326</v>
      </c>
    </row>
    <row r="51" spans="1:3">
      <c r="A51" s="57" t="s">
        <v>327</v>
      </c>
      <c r="C51" t="s">
        <v>328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7" tint="0.39997558519241921"/>
  </sheetPr>
  <dimension ref="A1:BC519"/>
  <sheetViews>
    <sheetView tabSelected="1" topLeftCell="A4" zoomScale="50" zoomScaleNormal="50" workbookViewId="0">
      <pane xSplit="2" ySplit="2" topLeftCell="C6" activePane="bottomRight" state="frozen"/>
      <selection activeCell="A4" sqref="A4"/>
      <selection pane="topRight" activeCell="C4" sqref="C4"/>
      <selection pane="bottomLeft" activeCell="A6" sqref="A6"/>
      <selection pane="bottomRight" activeCell="D6" sqref="D6"/>
    </sheetView>
  </sheetViews>
  <sheetFormatPr defaultColWidth="8.796875" defaultRowHeight="17.399999999999999" outlineLevelCol="3"/>
  <cols>
    <col min="1" max="1" width="10.69921875" style="4" customWidth="1"/>
    <col min="2" max="4" width="8.796875" style="5"/>
    <col min="5" max="5" width="25.796875" style="4" customWidth="1"/>
    <col min="6" max="6" width="33.69921875" style="4" customWidth="1"/>
    <col min="7" max="7" width="21.796875" style="4" customWidth="1" outlineLevel="1"/>
    <col min="8" max="8" width="16.69921875" style="4" customWidth="1" outlineLevel="1"/>
    <col min="9" max="9" width="15.5" style="4" customWidth="1" outlineLevel="1"/>
    <col min="10" max="10" width="10.296875" style="4" customWidth="1" outlineLevel="1"/>
    <col min="11" max="11" width="34.09765625" style="4" customWidth="1" outlineLevel="1"/>
    <col min="12" max="12" width="85" style="4" customWidth="1" outlineLevel="1"/>
    <col min="13" max="13" width="7.5" style="4" customWidth="1" outlineLevel="1"/>
    <col min="14" max="14" width="22.8984375" style="4" customWidth="1" outlineLevel="1"/>
    <col min="15" max="15" width="76.5" style="4" customWidth="1" outlineLevel="1"/>
    <col min="16" max="16" width="8.8984375" style="4" customWidth="1" outlineLevel="1"/>
    <col min="17" max="17" width="15.5" style="4" customWidth="1" outlineLevel="1"/>
    <col min="18" max="18" width="76.09765625" style="4" customWidth="1" outlineLevel="1"/>
    <col min="19" max="20" width="15.5" style="4" customWidth="1" outlineLevel="2"/>
    <col min="21" max="21" width="22.296875" style="4" customWidth="1" outlineLevel="1"/>
    <col min="22" max="22" width="117.796875" style="4" customWidth="1" outlineLevel="2"/>
    <col min="23" max="23" width="20.296875" style="4" customWidth="1" outlineLevel="2"/>
    <col min="24" max="25" width="15.5" style="4" customWidth="1" outlineLevel="2"/>
    <col min="26" max="26" width="10.09765625" style="4" customWidth="1" outlineLevel="2"/>
    <col min="27" max="27" width="21.5" style="4" customWidth="1" outlineLevel="1"/>
    <col min="28" max="28" width="91.8984375" style="4" customWidth="1" outlineLevel="1"/>
    <col min="29" max="29" width="26.796875" style="98" customWidth="1" outlineLevel="3"/>
    <col min="30" max="30" width="22.796875" style="98" customWidth="1" outlineLevel="3"/>
    <col min="31" max="31" width="19.09765625" style="4" customWidth="1" outlineLevel="2"/>
    <col min="32" max="32" width="77.69921875" style="4" customWidth="1" outlineLevel="2"/>
    <col min="33" max="33" width="23.5" style="4" customWidth="1" outlineLevel="2"/>
    <col min="34" max="34" width="94.09765625" style="4" customWidth="1" outlineLevel="2"/>
    <col min="35" max="35" width="31.3984375" style="4" customWidth="1" outlineLevel="2"/>
    <col min="36" max="36" width="86.296875" style="4" customWidth="1" outlineLevel="2"/>
    <col min="37" max="37" width="31.3984375" style="4" customWidth="1" outlineLevel="2"/>
    <col min="38" max="38" width="72.796875" style="4" customWidth="1" outlineLevel="2"/>
    <col min="39" max="39" width="31.3984375" style="4" customWidth="1" outlineLevel="2"/>
    <col min="40" max="40" width="72.796875" style="4" customWidth="1" outlineLevel="2"/>
    <col min="41" max="41" width="23" style="4" customWidth="1" outlineLevel="2"/>
    <col min="42" max="42" width="19" style="4" customWidth="1" outlineLevel="2"/>
    <col min="43" max="43" width="15.5" style="4" customWidth="1"/>
    <col min="44" max="48" width="15.5" style="4" customWidth="1" outlineLevel="1"/>
    <col min="49" max="49" width="18.296875" style="4" customWidth="1"/>
    <col min="50" max="50" width="8.69921875" style="6"/>
    <col min="51" max="52" width="8.796875" style="4"/>
    <col min="53" max="53" width="11.59765625" style="4" customWidth="1"/>
    <col min="54" max="54" width="10.8984375" style="82" customWidth="1"/>
    <col min="55" max="55" width="18.796875" style="4" customWidth="1"/>
    <col min="56" max="16384" width="8.796875" style="4"/>
  </cols>
  <sheetData>
    <row r="1" spans="1:54" ht="34.799999999999997">
      <c r="A1" s="4" t="s">
        <v>150</v>
      </c>
    </row>
    <row r="2" spans="1:54" s="5" customFormat="1">
      <c r="A2" s="5" t="s">
        <v>86</v>
      </c>
      <c r="B2" s="5" t="s">
        <v>87</v>
      </c>
      <c r="E2" s="5" t="s">
        <v>87</v>
      </c>
      <c r="F2" s="5" t="s">
        <v>88</v>
      </c>
      <c r="G2" s="5" t="s">
        <v>88</v>
      </c>
      <c r="H2" s="5" t="s">
        <v>88</v>
      </c>
      <c r="I2" s="5" t="s">
        <v>88</v>
      </c>
      <c r="J2" s="5" t="s">
        <v>88</v>
      </c>
      <c r="K2" s="5" t="s">
        <v>87</v>
      </c>
      <c r="L2" s="5" t="s">
        <v>87</v>
      </c>
      <c r="M2" s="5" t="s">
        <v>88</v>
      </c>
      <c r="N2" s="5" t="s">
        <v>88</v>
      </c>
      <c r="O2" s="5" t="s">
        <v>88</v>
      </c>
      <c r="P2" s="5" t="s">
        <v>88</v>
      </c>
      <c r="Q2" s="5" t="s">
        <v>88</v>
      </c>
      <c r="R2" s="5" t="s">
        <v>88</v>
      </c>
      <c r="S2" s="5" t="s">
        <v>88</v>
      </c>
      <c r="T2" s="5" t="s">
        <v>88</v>
      </c>
      <c r="U2" s="5" t="s">
        <v>87</v>
      </c>
      <c r="V2" s="5" t="s">
        <v>87</v>
      </c>
      <c r="W2" s="5" t="s">
        <v>87</v>
      </c>
      <c r="X2" s="5" t="s">
        <v>88</v>
      </c>
      <c r="Y2" s="5" t="s">
        <v>87</v>
      </c>
      <c r="Z2" s="5" t="s">
        <v>88</v>
      </c>
      <c r="AA2" s="5" t="s">
        <v>87</v>
      </c>
      <c r="AB2" s="5" t="s">
        <v>87</v>
      </c>
      <c r="AC2" s="99" t="s">
        <v>87</v>
      </c>
      <c r="AD2" s="99" t="s">
        <v>87</v>
      </c>
      <c r="AE2" s="5" t="s">
        <v>88</v>
      </c>
      <c r="AF2" s="5" t="s">
        <v>88</v>
      </c>
      <c r="AO2" s="5" t="s">
        <v>88</v>
      </c>
      <c r="AP2" s="5" t="s">
        <v>88</v>
      </c>
      <c r="AQ2" s="5" t="s">
        <v>87</v>
      </c>
      <c r="AR2" s="5" t="s">
        <v>88</v>
      </c>
      <c r="AS2" s="5" t="s">
        <v>88</v>
      </c>
      <c r="AT2" s="5" t="s">
        <v>88</v>
      </c>
      <c r="AU2" s="5" t="s">
        <v>87</v>
      </c>
      <c r="AV2" s="5" t="s">
        <v>87</v>
      </c>
      <c r="AW2" s="5" t="s">
        <v>87</v>
      </c>
      <c r="AX2" s="35"/>
      <c r="BB2" s="83"/>
    </row>
    <row r="3" spans="1:54">
      <c r="A3" s="4" t="s">
        <v>94</v>
      </c>
      <c r="B3" s="5" t="s">
        <v>87</v>
      </c>
      <c r="E3" s="5" t="s">
        <v>87</v>
      </c>
      <c r="F3" s="5" t="s">
        <v>87</v>
      </c>
      <c r="G3" s="5" t="s">
        <v>87</v>
      </c>
      <c r="H3" s="5" t="s">
        <v>87</v>
      </c>
      <c r="I3" s="5" t="s">
        <v>87</v>
      </c>
      <c r="J3" s="5" t="s">
        <v>87</v>
      </c>
      <c r="K3" s="5" t="s">
        <v>87</v>
      </c>
      <c r="L3" s="5" t="s">
        <v>87</v>
      </c>
      <c r="M3" s="5" t="s">
        <v>87</v>
      </c>
      <c r="N3" s="5" t="s">
        <v>87</v>
      </c>
      <c r="O3" s="5" t="s">
        <v>87</v>
      </c>
      <c r="P3" s="5" t="s">
        <v>87</v>
      </c>
      <c r="Q3" s="5" t="s">
        <v>87</v>
      </c>
      <c r="R3" s="5" t="s">
        <v>87</v>
      </c>
      <c r="S3" s="5" t="s">
        <v>88</v>
      </c>
      <c r="T3" s="5" t="s">
        <v>88</v>
      </c>
      <c r="U3" s="5" t="s">
        <v>87</v>
      </c>
      <c r="V3" s="5" t="s">
        <v>87</v>
      </c>
      <c r="W3" s="5" t="s">
        <v>88</v>
      </c>
      <c r="X3" s="5" t="s">
        <v>88</v>
      </c>
    </row>
    <row r="4" spans="1:54" ht="167.55" customHeight="1">
      <c r="A4" s="5" t="s">
        <v>89</v>
      </c>
      <c r="B4" s="5" t="s">
        <v>93</v>
      </c>
      <c r="E4" s="4" t="s">
        <v>95</v>
      </c>
      <c r="F4" s="4" t="s">
        <v>100</v>
      </c>
      <c r="G4" s="4" t="s">
        <v>96</v>
      </c>
      <c r="H4" s="4" t="s">
        <v>97</v>
      </c>
      <c r="I4" s="4" t="s">
        <v>99</v>
      </c>
      <c r="J4" s="4" t="s">
        <v>98</v>
      </c>
      <c r="K4" s="4" t="s">
        <v>101</v>
      </c>
      <c r="L4" s="4" t="s">
        <v>102</v>
      </c>
      <c r="M4" s="4" t="s">
        <v>103</v>
      </c>
      <c r="N4" s="4" t="s">
        <v>103</v>
      </c>
      <c r="O4" s="4" t="s">
        <v>103</v>
      </c>
      <c r="P4" s="4" t="s">
        <v>103</v>
      </c>
      <c r="Q4" s="4" t="s">
        <v>103</v>
      </c>
      <c r="R4" s="4" t="s">
        <v>103</v>
      </c>
      <c r="S4" s="4" t="s">
        <v>104</v>
      </c>
      <c r="T4" s="4" t="s">
        <v>104</v>
      </c>
      <c r="U4" s="4" t="s">
        <v>105</v>
      </c>
      <c r="V4" s="4" t="s">
        <v>106</v>
      </c>
      <c r="W4" s="4" t="s">
        <v>107</v>
      </c>
      <c r="X4" s="4" t="s">
        <v>104</v>
      </c>
      <c r="Y4" s="4" t="s">
        <v>108</v>
      </c>
      <c r="Z4" s="4" t="s">
        <v>104</v>
      </c>
      <c r="AA4" s="4" t="s">
        <v>109</v>
      </c>
      <c r="AB4" s="4" t="s">
        <v>110</v>
      </c>
      <c r="AC4" s="98" t="s">
        <v>139</v>
      </c>
      <c r="AE4" s="4" t="s">
        <v>111</v>
      </c>
      <c r="AF4" s="4" t="s">
        <v>112</v>
      </c>
    </row>
    <row r="5" spans="1:54" ht="13.8" customHeight="1">
      <c r="B5" s="36" t="s">
        <v>0</v>
      </c>
      <c r="C5" s="36" t="s">
        <v>897</v>
      </c>
      <c r="D5" s="36" t="s">
        <v>899</v>
      </c>
      <c r="E5" s="36" t="s">
        <v>1</v>
      </c>
      <c r="F5" s="36" t="s">
        <v>2</v>
      </c>
      <c r="G5" s="36" t="s">
        <v>3</v>
      </c>
      <c r="H5" s="36" t="s">
        <v>4</v>
      </c>
      <c r="I5" s="37" t="s">
        <v>113</v>
      </c>
      <c r="J5" s="36" t="s">
        <v>5</v>
      </c>
      <c r="K5" s="38" t="s">
        <v>6</v>
      </c>
      <c r="L5" s="38" t="s">
        <v>7</v>
      </c>
      <c r="M5" s="39" t="s">
        <v>8</v>
      </c>
      <c r="N5" s="39" t="s">
        <v>9</v>
      </c>
      <c r="O5" s="39" t="s">
        <v>10</v>
      </c>
      <c r="P5" s="39" t="s">
        <v>11</v>
      </c>
      <c r="Q5" s="39" t="s">
        <v>12</v>
      </c>
      <c r="R5" s="39" t="s">
        <v>13</v>
      </c>
      <c r="S5" s="39" t="s">
        <v>14</v>
      </c>
      <c r="T5" s="39" t="s">
        <v>15</v>
      </c>
      <c r="U5" s="38" t="s">
        <v>16</v>
      </c>
      <c r="V5" s="38" t="s">
        <v>17</v>
      </c>
      <c r="W5" s="40" t="s">
        <v>18</v>
      </c>
      <c r="X5" s="40" t="s">
        <v>19</v>
      </c>
      <c r="Y5" s="39" t="s">
        <v>20</v>
      </c>
      <c r="Z5" s="40" t="s">
        <v>21</v>
      </c>
      <c r="AA5" s="38" t="s">
        <v>384</v>
      </c>
      <c r="AB5" s="38" t="s">
        <v>23</v>
      </c>
      <c r="AC5" s="100" t="s">
        <v>24</v>
      </c>
      <c r="AD5" s="100" t="s">
        <v>25</v>
      </c>
      <c r="AE5" s="38" t="s">
        <v>26</v>
      </c>
      <c r="AF5" s="38" t="s">
        <v>27</v>
      </c>
      <c r="AG5" s="38" t="s">
        <v>334</v>
      </c>
      <c r="AH5" s="38" t="s">
        <v>335</v>
      </c>
      <c r="AI5" s="38" t="s">
        <v>339</v>
      </c>
      <c r="AJ5" s="38" t="s">
        <v>340</v>
      </c>
      <c r="AK5" s="38" t="s">
        <v>341</v>
      </c>
      <c r="AL5" s="38" t="s">
        <v>342</v>
      </c>
      <c r="AM5" s="38" t="s">
        <v>501</v>
      </c>
      <c r="AN5" s="38" t="s">
        <v>502</v>
      </c>
      <c r="AO5" s="36" t="s">
        <v>28</v>
      </c>
      <c r="AP5" s="36" t="s">
        <v>29</v>
      </c>
      <c r="AQ5" s="36" t="s">
        <v>30</v>
      </c>
      <c r="AR5" s="36" t="s">
        <v>31</v>
      </c>
      <c r="AS5" s="36" t="s">
        <v>32</v>
      </c>
      <c r="AT5" s="36" t="s">
        <v>33</v>
      </c>
      <c r="AU5" s="36" t="s">
        <v>34</v>
      </c>
      <c r="AV5" s="36" t="s">
        <v>35</v>
      </c>
      <c r="AW5" s="36" t="s">
        <v>36</v>
      </c>
      <c r="AX5" s="41"/>
      <c r="AY5" s="36" t="s">
        <v>37</v>
      </c>
      <c r="AZ5" s="36"/>
      <c r="BA5" s="5"/>
      <c r="BB5" s="84" t="s">
        <v>73</v>
      </c>
    </row>
    <row r="6" spans="1:54" s="65" customFormat="1" ht="34.200000000000003" customHeight="1">
      <c r="A6" s="65" t="s">
        <v>287</v>
      </c>
      <c r="B6" s="66">
        <v>1</v>
      </c>
      <c r="C6" s="66" t="s">
        <v>898</v>
      </c>
      <c r="D6" s="66" t="s">
        <v>900</v>
      </c>
      <c r="E6" s="67" t="s">
        <v>38</v>
      </c>
      <c r="F6" s="67" t="s">
        <v>39</v>
      </c>
      <c r="G6" s="66">
        <v>1</v>
      </c>
      <c r="H6" s="66" t="s">
        <v>40</v>
      </c>
      <c r="I6" s="66" t="s">
        <v>114</v>
      </c>
      <c r="J6" s="67">
        <v>1</v>
      </c>
      <c r="K6" s="67" t="s">
        <v>142</v>
      </c>
      <c r="L6" s="68" t="s">
        <v>137</v>
      </c>
      <c r="M6" s="67"/>
      <c r="N6" s="67"/>
      <c r="O6" s="67"/>
      <c r="P6" s="67"/>
      <c r="Q6" s="67"/>
      <c r="R6" s="67"/>
      <c r="S6" s="67"/>
      <c r="T6" s="67"/>
      <c r="U6" s="67" t="s">
        <v>41</v>
      </c>
      <c r="V6" s="68" t="s">
        <v>42</v>
      </c>
      <c r="W6" s="67"/>
      <c r="X6" s="67"/>
      <c r="Y6" s="67"/>
      <c r="Z6" s="67"/>
      <c r="AA6" s="67" t="s">
        <v>151</v>
      </c>
      <c r="AB6" s="67" t="s">
        <v>152</v>
      </c>
      <c r="AC6" s="101"/>
      <c r="AD6" s="102"/>
      <c r="AE6" s="67" t="s">
        <v>43</v>
      </c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8" t="s">
        <v>138</v>
      </c>
      <c r="AR6" s="67"/>
      <c r="AS6" s="67"/>
      <c r="AT6" s="67"/>
      <c r="AU6" s="68" t="s">
        <v>44</v>
      </c>
      <c r="AV6" s="68" t="s">
        <v>45</v>
      </c>
      <c r="AW6" s="67" t="e">
        <f>INDEX($B$6:$B$58,MATCH(AY6,$AA$6:$AA$58,0))</f>
        <v>#N/A</v>
      </c>
      <c r="AX6" s="67"/>
      <c r="AY6" s="67" t="s">
        <v>46</v>
      </c>
      <c r="AZ6" s="67"/>
      <c r="BB6" s="81"/>
    </row>
    <row r="7" spans="1:54" s="47" customFormat="1" ht="34.200000000000003" customHeight="1">
      <c r="B7" s="37">
        <v>1</v>
      </c>
      <c r="C7" s="37" t="s">
        <v>898</v>
      </c>
      <c r="D7" s="37" t="s">
        <v>900</v>
      </c>
      <c r="E7" s="44" t="s">
        <v>169</v>
      </c>
      <c r="F7" s="44" t="s">
        <v>153</v>
      </c>
      <c r="G7" s="37">
        <v>1</v>
      </c>
      <c r="H7" s="37" t="s">
        <v>40</v>
      </c>
      <c r="I7" s="37" t="s">
        <v>114</v>
      </c>
      <c r="J7" s="44">
        <v>1</v>
      </c>
      <c r="K7" s="45" t="s">
        <v>451</v>
      </c>
      <c r="L7" s="45" t="s">
        <v>562</v>
      </c>
      <c r="M7" s="44"/>
      <c r="N7" s="44"/>
      <c r="O7" s="44"/>
      <c r="P7" s="44"/>
      <c r="Q7" s="44"/>
      <c r="R7" s="44"/>
      <c r="S7" s="44"/>
      <c r="T7" s="44"/>
      <c r="U7" s="44" t="s">
        <v>382</v>
      </c>
      <c r="V7" s="45" t="s">
        <v>459</v>
      </c>
      <c r="W7" s="44"/>
      <c r="X7" s="44"/>
      <c r="Y7" s="44"/>
      <c r="Z7" s="44"/>
      <c r="AA7" s="44" t="s">
        <v>450</v>
      </c>
      <c r="AB7" s="44" t="s">
        <v>457</v>
      </c>
      <c r="AC7" s="101"/>
      <c r="AD7" s="102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5" t="s">
        <v>448</v>
      </c>
      <c r="AR7" s="44"/>
      <c r="AS7" s="44"/>
      <c r="AT7" s="44"/>
      <c r="AU7" s="45" t="s">
        <v>465</v>
      </c>
      <c r="AV7" s="45" t="s">
        <v>449</v>
      </c>
      <c r="AW7" s="44"/>
      <c r="AX7" s="44"/>
      <c r="AY7" s="44"/>
      <c r="AZ7" s="44"/>
      <c r="BB7" s="85" t="s">
        <v>480</v>
      </c>
    </row>
    <row r="8" spans="1:54" s="47" customFormat="1" ht="34.200000000000003" customHeight="1">
      <c r="A8" s="47" t="s">
        <v>444</v>
      </c>
      <c r="B8" s="37">
        <v>2</v>
      </c>
      <c r="C8" s="37" t="s">
        <v>898</v>
      </c>
      <c r="D8" s="37" t="s">
        <v>900</v>
      </c>
      <c r="E8" s="44" t="s">
        <v>169</v>
      </c>
      <c r="F8" s="44" t="s">
        <v>153</v>
      </c>
      <c r="G8" s="37">
        <v>1</v>
      </c>
      <c r="H8" s="37" t="s">
        <v>40</v>
      </c>
      <c r="I8" s="37" t="s">
        <v>114</v>
      </c>
      <c r="J8" s="44" t="s">
        <v>369</v>
      </c>
      <c r="K8" s="44" t="s">
        <v>369</v>
      </c>
      <c r="L8" s="44" t="s">
        <v>369</v>
      </c>
      <c r="M8" s="44"/>
      <c r="N8" s="44"/>
      <c r="O8" s="44"/>
      <c r="P8" s="44"/>
      <c r="Q8" s="44"/>
      <c r="R8" s="44"/>
      <c r="S8" s="44"/>
      <c r="T8" s="44"/>
      <c r="U8" s="44"/>
      <c r="V8" s="45"/>
      <c r="W8" s="44"/>
      <c r="X8" s="44"/>
      <c r="Y8" s="44"/>
      <c r="Z8" s="44"/>
      <c r="AA8" s="86" t="s">
        <v>442</v>
      </c>
      <c r="AB8" s="86" t="s">
        <v>441</v>
      </c>
      <c r="AC8" s="101"/>
      <c r="AD8" s="102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5" t="s">
        <v>369</v>
      </c>
      <c r="AR8" s="45"/>
      <c r="AS8" s="45"/>
      <c r="AT8" s="45"/>
      <c r="AU8" s="45" t="s">
        <v>369</v>
      </c>
      <c r="AV8" s="45" t="s">
        <v>369</v>
      </c>
      <c r="AW8" s="44"/>
      <c r="AX8" s="44"/>
      <c r="AY8" s="44"/>
      <c r="AZ8" s="44"/>
      <c r="BB8" s="85" t="s">
        <v>369</v>
      </c>
    </row>
    <row r="9" spans="1:54" s="47" customFormat="1" ht="34.200000000000003" customHeight="1">
      <c r="B9" s="37">
        <v>3</v>
      </c>
      <c r="C9" s="37" t="s">
        <v>898</v>
      </c>
      <c r="D9" s="37" t="s">
        <v>900</v>
      </c>
      <c r="E9" s="44" t="s">
        <v>169</v>
      </c>
      <c r="F9" s="44" t="s">
        <v>383</v>
      </c>
      <c r="G9" s="37">
        <v>1</v>
      </c>
      <c r="H9" s="37" t="s">
        <v>40</v>
      </c>
      <c r="I9" s="37" t="s">
        <v>114</v>
      </c>
      <c r="J9" s="44">
        <v>2</v>
      </c>
      <c r="K9" s="45" t="s">
        <v>453</v>
      </c>
      <c r="L9" s="45" t="s">
        <v>563</v>
      </c>
      <c r="M9" s="44"/>
      <c r="N9" s="44"/>
      <c r="O9" s="44"/>
      <c r="P9" s="44"/>
      <c r="Q9" s="44"/>
      <c r="R9" s="44"/>
      <c r="S9" s="44"/>
      <c r="T9" s="44"/>
      <c r="U9" s="44" t="s">
        <v>385</v>
      </c>
      <c r="V9" s="45" t="s">
        <v>460</v>
      </c>
      <c r="W9" s="44"/>
      <c r="X9" s="44"/>
      <c r="Y9" s="44"/>
      <c r="Z9" s="44"/>
      <c r="AA9" s="44" t="s">
        <v>452</v>
      </c>
      <c r="AB9" s="44" t="s">
        <v>458</v>
      </c>
      <c r="AC9" s="101"/>
      <c r="AD9" s="102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5" t="s">
        <v>454</v>
      </c>
      <c r="AR9" s="44"/>
      <c r="AS9" s="44"/>
      <c r="AT9" s="44"/>
      <c r="AU9" s="45" t="s">
        <v>465</v>
      </c>
      <c r="AV9" s="45" t="s">
        <v>449</v>
      </c>
      <c r="AW9" s="44"/>
      <c r="AX9" s="44"/>
      <c r="AY9" s="44"/>
      <c r="AZ9" s="44"/>
      <c r="BB9" s="85" t="s">
        <v>481</v>
      </c>
    </row>
    <row r="10" spans="1:54" s="47" customFormat="1" ht="34.200000000000003" customHeight="1">
      <c r="B10" s="37">
        <v>4</v>
      </c>
      <c r="C10" s="37" t="s">
        <v>898</v>
      </c>
      <c r="D10" s="37" t="s">
        <v>900</v>
      </c>
      <c r="E10" s="44" t="s">
        <v>169</v>
      </c>
      <c r="F10" s="44" t="s">
        <v>383</v>
      </c>
      <c r="G10" s="37">
        <v>1</v>
      </c>
      <c r="H10" s="37" t="s">
        <v>40</v>
      </c>
      <c r="I10" s="37" t="s">
        <v>114</v>
      </c>
      <c r="J10" s="44" t="s">
        <v>369</v>
      </c>
      <c r="K10" s="44" t="s">
        <v>369</v>
      </c>
      <c r="L10" s="44" t="s">
        <v>369</v>
      </c>
      <c r="M10" s="44"/>
      <c r="N10" s="44"/>
      <c r="O10" s="44"/>
      <c r="P10" s="44"/>
      <c r="Q10" s="44"/>
      <c r="R10" s="44"/>
      <c r="S10" s="44"/>
      <c r="T10" s="44"/>
      <c r="U10" s="44"/>
      <c r="V10" s="45"/>
      <c r="W10" s="44"/>
      <c r="X10" s="44"/>
      <c r="Y10" s="44"/>
      <c r="Z10" s="44"/>
      <c r="AA10" s="44" t="s">
        <v>158</v>
      </c>
      <c r="AB10" s="44" t="s">
        <v>461</v>
      </c>
      <c r="AC10" s="101"/>
      <c r="AD10" s="102"/>
      <c r="AE10" s="44" t="s">
        <v>158</v>
      </c>
      <c r="AF10" s="44" t="s">
        <v>463</v>
      </c>
      <c r="AG10" s="44" t="s">
        <v>386</v>
      </c>
      <c r="AH10" s="44" t="s">
        <v>464</v>
      </c>
      <c r="AI10" s="44"/>
      <c r="AJ10" s="44"/>
      <c r="AK10" s="44"/>
      <c r="AL10" s="44"/>
      <c r="AM10" s="44"/>
      <c r="AN10" s="44"/>
      <c r="AO10" s="44"/>
      <c r="AP10" s="44"/>
      <c r="AQ10" s="45" t="s">
        <v>369</v>
      </c>
      <c r="AR10" s="45"/>
      <c r="AS10" s="45"/>
      <c r="AT10" s="45"/>
      <c r="AU10" s="45" t="s">
        <v>369</v>
      </c>
      <c r="AV10" s="45" t="s">
        <v>369</v>
      </c>
      <c r="AW10" s="44"/>
      <c r="AX10" s="44"/>
      <c r="AY10" s="44"/>
      <c r="AZ10" s="44"/>
      <c r="BB10" s="85" t="s">
        <v>369</v>
      </c>
    </row>
    <row r="11" spans="1:54" s="47" customFormat="1" ht="34.200000000000003" customHeight="1">
      <c r="B11" s="37">
        <v>5</v>
      </c>
      <c r="C11" s="37" t="s">
        <v>898</v>
      </c>
      <c r="D11" s="37" t="s">
        <v>900</v>
      </c>
      <c r="E11" s="44" t="s">
        <v>169</v>
      </c>
      <c r="F11" s="44" t="s">
        <v>383</v>
      </c>
      <c r="G11" s="37">
        <v>1</v>
      </c>
      <c r="H11" s="37" t="s">
        <v>40</v>
      </c>
      <c r="I11" s="37" t="s">
        <v>114</v>
      </c>
      <c r="J11" s="44">
        <v>3</v>
      </c>
      <c r="K11" s="45" t="s">
        <v>456</v>
      </c>
      <c r="L11" s="45" t="s">
        <v>564</v>
      </c>
      <c r="M11" s="44"/>
      <c r="N11" s="44"/>
      <c r="O11" s="44"/>
      <c r="P11" s="44"/>
      <c r="Q11" s="44"/>
      <c r="R11" s="44"/>
      <c r="S11" s="44"/>
      <c r="T11" s="44"/>
      <c r="U11" s="44" t="s">
        <v>387</v>
      </c>
      <c r="V11" s="45" t="s">
        <v>470</v>
      </c>
      <c r="W11" s="44"/>
      <c r="X11" s="44"/>
      <c r="Y11" s="44"/>
      <c r="Z11" s="44"/>
      <c r="AA11" s="44" t="s">
        <v>455</v>
      </c>
      <c r="AB11" s="44" t="s">
        <v>462</v>
      </c>
      <c r="AC11" s="101"/>
      <c r="AD11" s="102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5" t="s">
        <v>466</v>
      </c>
      <c r="AR11" s="44"/>
      <c r="AS11" s="44"/>
      <c r="AT11" s="44"/>
      <c r="AU11" s="45" t="s">
        <v>465</v>
      </c>
      <c r="AV11" s="45" t="s">
        <v>449</v>
      </c>
      <c r="AW11" s="44"/>
      <c r="AX11" s="44"/>
      <c r="AY11" s="44"/>
      <c r="AZ11" s="44"/>
      <c r="BB11" s="85" t="s">
        <v>481</v>
      </c>
    </row>
    <row r="12" spans="1:54" s="47" customFormat="1" ht="34.200000000000003" customHeight="1">
      <c r="B12" s="37">
        <v>6</v>
      </c>
      <c r="C12" s="37" t="s">
        <v>898</v>
      </c>
      <c r="D12" s="37" t="s">
        <v>900</v>
      </c>
      <c r="E12" s="44" t="s">
        <v>169</v>
      </c>
      <c r="F12" s="44" t="s">
        <v>162</v>
      </c>
      <c r="G12" s="37">
        <v>1</v>
      </c>
      <c r="H12" s="37" t="s">
        <v>40</v>
      </c>
      <c r="I12" s="37" t="s">
        <v>114</v>
      </c>
      <c r="J12" s="44" t="s">
        <v>369</v>
      </c>
      <c r="K12" s="44" t="s">
        <v>369</v>
      </c>
      <c r="L12" s="44" t="s">
        <v>369</v>
      </c>
      <c r="M12" s="44"/>
      <c r="N12" s="44"/>
      <c r="O12" s="44"/>
      <c r="P12" s="44"/>
      <c r="Q12" s="44"/>
      <c r="R12" s="44"/>
      <c r="S12" s="44"/>
      <c r="T12" s="44"/>
      <c r="U12" s="44"/>
      <c r="V12" s="45"/>
      <c r="W12" s="44"/>
      <c r="X12" s="44"/>
      <c r="Y12" s="44"/>
      <c r="Z12" s="44"/>
      <c r="AA12" s="44" t="s">
        <v>388</v>
      </c>
      <c r="AB12" s="44" t="s">
        <v>467</v>
      </c>
      <c r="AC12" s="101"/>
      <c r="AD12" s="102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5" t="s">
        <v>369</v>
      </c>
      <c r="AR12" s="45"/>
      <c r="AS12" s="45"/>
      <c r="AT12" s="45"/>
      <c r="AU12" s="45" t="s">
        <v>369</v>
      </c>
      <c r="AV12" s="45" t="s">
        <v>369</v>
      </c>
      <c r="AW12" s="44"/>
      <c r="AX12" s="44"/>
      <c r="AY12" s="44"/>
      <c r="AZ12" s="44"/>
      <c r="BB12" s="85" t="s">
        <v>369</v>
      </c>
    </row>
    <row r="13" spans="1:54" s="47" customFormat="1" ht="34.200000000000003" customHeight="1">
      <c r="B13" s="37">
        <v>7</v>
      </c>
      <c r="C13" s="37" t="s">
        <v>898</v>
      </c>
      <c r="D13" s="37" t="s">
        <v>900</v>
      </c>
      <c r="E13" s="44" t="s">
        <v>169</v>
      </c>
      <c r="F13" s="44" t="s">
        <v>162</v>
      </c>
      <c r="G13" s="37">
        <v>1</v>
      </c>
      <c r="H13" s="37" t="s">
        <v>40</v>
      </c>
      <c r="I13" s="37" t="s">
        <v>114</v>
      </c>
      <c r="J13" s="44">
        <v>4</v>
      </c>
      <c r="K13" s="44" t="s">
        <v>468</v>
      </c>
      <c r="L13" s="45" t="s">
        <v>565</v>
      </c>
      <c r="M13" s="44"/>
      <c r="N13" s="44"/>
      <c r="O13" s="44"/>
      <c r="P13" s="44"/>
      <c r="Q13" s="44"/>
      <c r="R13" s="44"/>
      <c r="S13" s="44"/>
      <c r="T13" s="44"/>
      <c r="U13" s="44" t="s">
        <v>390</v>
      </c>
      <c r="V13" s="45" t="s">
        <v>471</v>
      </c>
      <c r="W13" s="44"/>
      <c r="X13" s="44"/>
      <c r="Y13" s="44"/>
      <c r="Z13" s="44"/>
      <c r="AA13" s="44" t="s">
        <v>389</v>
      </c>
      <c r="AB13" s="44" t="s">
        <v>469</v>
      </c>
      <c r="AC13" s="101"/>
      <c r="AD13" s="102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5" t="s">
        <v>472</v>
      </c>
      <c r="AR13" s="44"/>
      <c r="AS13" s="44"/>
      <c r="AT13" s="44"/>
      <c r="AU13" s="45" t="s">
        <v>465</v>
      </c>
      <c r="AV13" s="45" t="s">
        <v>449</v>
      </c>
      <c r="AW13" s="44"/>
      <c r="AX13" s="44"/>
      <c r="AY13" s="44"/>
      <c r="AZ13" s="44"/>
      <c r="BB13" s="85" t="s">
        <v>480</v>
      </c>
    </row>
    <row r="14" spans="1:54" s="47" customFormat="1" ht="34.200000000000003" customHeight="1">
      <c r="B14" s="37">
        <v>8</v>
      </c>
      <c r="C14" s="37" t="s">
        <v>898</v>
      </c>
      <c r="D14" s="37" t="s">
        <v>900</v>
      </c>
      <c r="E14" s="44" t="s">
        <v>169</v>
      </c>
      <c r="F14" s="44" t="s">
        <v>162</v>
      </c>
      <c r="G14" s="37">
        <v>1</v>
      </c>
      <c r="H14" s="37" t="s">
        <v>40</v>
      </c>
      <c r="I14" s="37" t="s">
        <v>114</v>
      </c>
      <c r="J14" s="44" t="s">
        <v>369</v>
      </c>
      <c r="K14" s="44" t="s">
        <v>369</v>
      </c>
      <c r="L14" s="44" t="s">
        <v>369</v>
      </c>
      <c r="M14" s="44"/>
      <c r="N14" s="44"/>
      <c r="O14" s="44"/>
      <c r="P14" s="44"/>
      <c r="Q14" s="44"/>
      <c r="R14" s="44"/>
      <c r="S14" s="44"/>
      <c r="T14" s="44"/>
      <c r="U14" s="44"/>
      <c r="V14" s="45"/>
      <c r="W14" s="44"/>
      <c r="X14" s="44"/>
      <c r="Y14" s="44"/>
      <c r="Z14" s="44"/>
      <c r="AA14" s="44" t="s">
        <v>473</v>
      </c>
      <c r="AB14" s="44" t="s">
        <v>474</v>
      </c>
      <c r="AC14" s="101"/>
      <c r="AD14" s="102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5" t="s">
        <v>369</v>
      </c>
      <c r="AR14" s="45"/>
      <c r="AS14" s="45"/>
      <c r="AT14" s="45"/>
      <c r="AU14" s="45" t="s">
        <v>369</v>
      </c>
      <c r="AV14" s="45" t="s">
        <v>369</v>
      </c>
      <c r="AW14" s="44"/>
      <c r="AX14" s="44"/>
      <c r="AY14" s="44"/>
      <c r="AZ14" s="44"/>
      <c r="BB14" s="85" t="s">
        <v>369</v>
      </c>
    </row>
    <row r="15" spans="1:54" s="47" customFormat="1" ht="34.200000000000003" customHeight="1">
      <c r="B15" s="37">
        <v>9</v>
      </c>
      <c r="C15" s="37" t="s">
        <v>898</v>
      </c>
      <c r="D15" s="37" t="s">
        <v>900</v>
      </c>
      <c r="E15" s="44" t="s">
        <v>169</v>
      </c>
      <c r="F15" s="44" t="s">
        <v>162</v>
      </c>
      <c r="G15" s="37">
        <v>1</v>
      </c>
      <c r="H15" s="37" t="s">
        <v>40</v>
      </c>
      <c r="I15" s="37" t="s">
        <v>114</v>
      </c>
      <c r="J15" s="44" t="s">
        <v>369</v>
      </c>
      <c r="K15" s="44" t="s">
        <v>369</v>
      </c>
      <c r="L15" s="44" t="s">
        <v>369</v>
      </c>
      <c r="M15" s="44"/>
      <c r="N15" s="44"/>
      <c r="O15" s="44"/>
      <c r="P15" s="44"/>
      <c r="Q15" s="44"/>
      <c r="R15" s="44"/>
      <c r="S15" s="44"/>
      <c r="T15" s="44"/>
      <c r="U15" s="44"/>
      <c r="V15" s="45"/>
      <c r="W15" s="44"/>
      <c r="X15" s="44"/>
      <c r="Y15" s="44"/>
      <c r="Z15" s="44"/>
      <c r="AA15" s="44" t="s">
        <v>392</v>
      </c>
      <c r="AB15" s="44" t="s">
        <v>391</v>
      </c>
      <c r="AC15" s="101"/>
      <c r="AD15" s="102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5" t="s">
        <v>369</v>
      </c>
      <c r="AR15" s="45"/>
      <c r="AS15" s="45"/>
      <c r="AT15" s="45"/>
      <c r="AU15" s="45" t="s">
        <v>369</v>
      </c>
      <c r="AV15" s="45" t="s">
        <v>369</v>
      </c>
      <c r="AW15" s="44"/>
      <c r="AX15" s="44"/>
      <c r="AY15" s="44"/>
      <c r="AZ15" s="44"/>
      <c r="BB15" s="85" t="s">
        <v>369</v>
      </c>
    </row>
    <row r="16" spans="1:54" s="47" customFormat="1" ht="34.200000000000003" customHeight="1">
      <c r="B16" s="37">
        <v>10</v>
      </c>
      <c r="C16" s="37" t="s">
        <v>898</v>
      </c>
      <c r="D16" s="37" t="s">
        <v>900</v>
      </c>
      <c r="E16" s="44" t="s">
        <v>169</v>
      </c>
      <c r="F16" s="44" t="s">
        <v>162</v>
      </c>
      <c r="G16" s="37">
        <v>1</v>
      </c>
      <c r="H16" s="37" t="s">
        <v>40</v>
      </c>
      <c r="I16" s="37" t="s">
        <v>114</v>
      </c>
      <c r="J16" s="44">
        <v>5</v>
      </c>
      <c r="K16" s="45" t="s">
        <v>477</v>
      </c>
      <c r="L16" s="45" t="s">
        <v>566</v>
      </c>
      <c r="M16" s="44"/>
      <c r="N16" s="44"/>
      <c r="O16" s="44"/>
      <c r="P16" s="44"/>
      <c r="Q16" s="44"/>
      <c r="R16" s="44"/>
      <c r="S16" s="44"/>
      <c r="T16" s="44"/>
      <c r="U16" s="44" t="s">
        <v>393</v>
      </c>
      <c r="V16" s="45" t="s">
        <v>478</v>
      </c>
      <c r="W16" s="44"/>
      <c r="X16" s="44"/>
      <c r="Y16" s="44"/>
      <c r="Z16" s="44"/>
      <c r="AA16" s="44" t="s">
        <v>475</v>
      </c>
      <c r="AB16" s="44" t="s">
        <v>476</v>
      </c>
      <c r="AC16" s="101"/>
      <c r="AD16" s="102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5" t="s">
        <v>479</v>
      </c>
      <c r="AR16" s="44"/>
      <c r="AS16" s="44"/>
      <c r="AT16" s="44"/>
      <c r="AU16" s="45" t="s">
        <v>465</v>
      </c>
      <c r="AV16" s="45" t="s">
        <v>449</v>
      </c>
      <c r="AW16" s="44"/>
      <c r="AX16" s="44"/>
      <c r="AY16" s="44"/>
      <c r="AZ16" s="44"/>
      <c r="BB16" s="85" t="s">
        <v>482</v>
      </c>
    </row>
    <row r="17" spans="1:55" s="47" customFormat="1" ht="34.200000000000003" customHeight="1">
      <c r="B17" s="37">
        <v>11</v>
      </c>
      <c r="C17" s="37" t="s">
        <v>898</v>
      </c>
      <c r="D17" s="37" t="s">
        <v>900</v>
      </c>
      <c r="E17" s="44" t="s">
        <v>169</v>
      </c>
      <c r="F17" s="44" t="s">
        <v>162</v>
      </c>
      <c r="G17" s="37">
        <v>1</v>
      </c>
      <c r="H17" s="37" t="s">
        <v>40</v>
      </c>
      <c r="I17" s="37" t="s">
        <v>114</v>
      </c>
      <c r="J17" s="44">
        <v>6</v>
      </c>
      <c r="K17" s="44" t="s">
        <v>166</v>
      </c>
      <c r="L17" s="45" t="s">
        <v>394</v>
      </c>
      <c r="M17" s="44"/>
      <c r="N17" s="44"/>
      <c r="O17" s="44"/>
      <c r="P17" s="44"/>
      <c r="Q17" s="44"/>
      <c r="R17" s="44"/>
      <c r="S17" s="44"/>
      <c r="T17" s="44"/>
      <c r="U17" s="44"/>
      <c r="V17" s="45"/>
      <c r="W17" s="44"/>
      <c r="X17" s="44"/>
      <c r="Y17" s="44"/>
      <c r="Z17" s="44"/>
      <c r="AA17" s="44" t="s">
        <v>166</v>
      </c>
      <c r="AB17" s="44" t="s">
        <v>483</v>
      </c>
      <c r="AC17" s="101"/>
      <c r="AD17" s="102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5" t="s">
        <v>369</v>
      </c>
      <c r="AR17" s="45"/>
      <c r="AS17" s="45"/>
      <c r="AT17" s="45"/>
      <c r="AU17" s="45" t="s">
        <v>369</v>
      </c>
      <c r="AV17" s="45" t="s">
        <v>369</v>
      </c>
      <c r="AW17" s="44"/>
      <c r="AX17" s="44"/>
      <c r="AY17" s="44"/>
      <c r="AZ17" s="44"/>
      <c r="BB17" s="81" t="s">
        <v>490</v>
      </c>
      <c r="BC17" s="47" t="s">
        <v>491</v>
      </c>
    </row>
    <row r="18" spans="1:55" s="47" customFormat="1" ht="34.200000000000003" customHeight="1">
      <c r="B18" s="37">
        <v>12</v>
      </c>
      <c r="C18" s="37" t="s">
        <v>898</v>
      </c>
      <c r="D18" s="37" t="s">
        <v>900</v>
      </c>
      <c r="E18" s="44" t="s">
        <v>169</v>
      </c>
      <c r="F18" s="44" t="s">
        <v>162</v>
      </c>
      <c r="G18" s="37">
        <v>1</v>
      </c>
      <c r="H18" s="37" t="s">
        <v>40</v>
      </c>
      <c r="I18" s="37" t="s">
        <v>114</v>
      </c>
      <c r="J18" s="44">
        <v>7</v>
      </c>
      <c r="K18" s="44" t="s">
        <v>395</v>
      </c>
      <c r="L18" s="45" t="s">
        <v>484</v>
      </c>
      <c r="M18" s="44"/>
      <c r="N18" s="44"/>
      <c r="O18" s="44"/>
      <c r="P18" s="44"/>
      <c r="Q18" s="44"/>
      <c r="R18" s="44"/>
      <c r="S18" s="44"/>
      <c r="T18" s="44"/>
      <c r="U18" s="44"/>
      <c r="V18" s="45"/>
      <c r="W18" s="44"/>
      <c r="X18" s="44"/>
      <c r="Y18" s="44"/>
      <c r="Z18" s="44"/>
      <c r="AA18" s="44" t="s">
        <v>369</v>
      </c>
      <c r="AB18" s="44" t="s">
        <v>369</v>
      </c>
      <c r="AC18" s="101"/>
      <c r="AD18" s="102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5" t="s">
        <v>369</v>
      </c>
      <c r="AR18" s="44"/>
      <c r="AS18" s="44"/>
      <c r="AT18" s="44"/>
      <c r="AU18" s="45" t="s">
        <v>465</v>
      </c>
      <c r="AV18" s="45" t="s">
        <v>449</v>
      </c>
      <c r="AW18" s="44"/>
      <c r="AX18" s="44"/>
      <c r="AY18" s="44"/>
      <c r="AZ18" s="44"/>
      <c r="BB18" s="81" t="s">
        <v>490</v>
      </c>
      <c r="BC18" s="47" t="s">
        <v>491</v>
      </c>
    </row>
    <row r="19" spans="1:55" s="47" customFormat="1" ht="34.200000000000003" customHeight="1">
      <c r="B19" s="37">
        <v>13</v>
      </c>
      <c r="C19" s="37" t="s">
        <v>898</v>
      </c>
      <c r="D19" s="37" t="s">
        <v>900</v>
      </c>
      <c r="E19" s="44" t="s">
        <v>169</v>
      </c>
      <c r="F19" s="44" t="s">
        <v>162</v>
      </c>
      <c r="G19" s="37">
        <v>1</v>
      </c>
      <c r="H19" s="37" t="s">
        <v>40</v>
      </c>
      <c r="I19" s="37" t="s">
        <v>114</v>
      </c>
      <c r="J19" s="44">
        <v>8</v>
      </c>
      <c r="K19" s="44" t="s">
        <v>168</v>
      </c>
      <c r="L19" s="45" t="s">
        <v>485</v>
      </c>
      <c r="M19" s="44"/>
      <c r="N19" s="44"/>
      <c r="O19" s="44"/>
      <c r="P19" s="44"/>
      <c r="Q19" s="44"/>
      <c r="R19" s="44"/>
      <c r="S19" s="44"/>
      <c r="T19" s="44"/>
      <c r="U19" s="44"/>
      <c r="V19" s="45"/>
      <c r="W19" s="44"/>
      <c r="X19" s="44"/>
      <c r="Y19" s="44"/>
      <c r="Z19" s="44"/>
      <c r="AA19" s="44" t="s">
        <v>369</v>
      </c>
      <c r="AB19" s="44" t="s">
        <v>369</v>
      </c>
      <c r="AC19" s="101"/>
      <c r="AD19" s="102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5" t="s">
        <v>369</v>
      </c>
      <c r="AR19" s="44"/>
      <c r="AS19" s="44"/>
      <c r="AT19" s="44"/>
      <c r="AU19" s="45" t="s">
        <v>465</v>
      </c>
      <c r="AV19" s="45" t="s">
        <v>45</v>
      </c>
      <c r="AW19" s="44"/>
      <c r="AX19" s="44"/>
      <c r="AY19" s="44"/>
      <c r="AZ19" s="44"/>
      <c r="BB19" s="81" t="s">
        <v>490</v>
      </c>
      <c r="BC19" s="47" t="s">
        <v>491</v>
      </c>
    </row>
    <row r="20" spans="1:55" s="47" customFormat="1" ht="34.200000000000003" customHeight="1">
      <c r="B20" s="37">
        <v>14</v>
      </c>
      <c r="C20" s="37" t="s">
        <v>898</v>
      </c>
      <c r="D20" s="37" t="s">
        <v>900</v>
      </c>
      <c r="E20" s="44" t="s">
        <v>169</v>
      </c>
      <c r="F20" s="44" t="s">
        <v>396</v>
      </c>
      <c r="G20" s="37">
        <v>1</v>
      </c>
      <c r="H20" s="37" t="s">
        <v>40</v>
      </c>
      <c r="I20" s="37" t="s">
        <v>114</v>
      </c>
      <c r="J20" s="42" t="s">
        <v>369</v>
      </c>
      <c r="K20" s="42" t="s">
        <v>369</v>
      </c>
      <c r="L20" s="42" t="s">
        <v>369</v>
      </c>
      <c r="M20" s="44"/>
      <c r="N20" s="44"/>
      <c r="O20" s="44"/>
      <c r="P20" s="44"/>
      <c r="Q20" s="44"/>
      <c r="R20" s="44"/>
      <c r="S20" s="44"/>
      <c r="T20" s="44"/>
      <c r="U20" s="44"/>
      <c r="V20" s="45"/>
      <c r="W20" s="44"/>
      <c r="X20" s="44"/>
      <c r="Y20" s="44"/>
      <c r="Z20" s="44"/>
      <c r="AA20" s="44" t="s">
        <v>397</v>
      </c>
      <c r="AB20" s="44" t="s">
        <v>486</v>
      </c>
      <c r="AC20" s="101"/>
      <c r="AD20" s="102"/>
      <c r="AE20" s="44" t="s">
        <v>487</v>
      </c>
      <c r="AF20" s="44" t="s">
        <v>488</v>
      </c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5" t="s">
        <v>369</v>
      </c>
      <c r="AR20" s="45"/>
      <c r="AS20" s="45"/>
      <c r="AT20" s="45"/>
      <c r="AU20" s="45" t="s">
        <v>369</v>
      </c>
      <c r="AV20" s="45" t="s">
        <v>369</v>
      </c>
      <c r="AW20" s="44"/>
      <c r="AX20" s="44"/>
      <c r="AY20" s="44"/>
      <c r="AZ20" s="44"/>
      <c r="BB20" s="85" t="s">
        <v>369</v>
      </c>
    </row>
    <row r="21" spans="1:55" s="47" customFormat="1" ht="34.200000000000003" customHeight="1">
      <c r="A21" s="47" t="s">
        <v>444</v>
      </c>
      <c r="B21" s="37">
        <v>15</v>
      </c>
      <c r="C21" s="37" t="s">
        <v>898</v>
      </c>
      <c r="D21" s="37" t="s">
        <v>900</v>
      </c>
      <c r="E21" s="44" t="s">
        <v>169</v>
      </c>
      <c r="F21" s="44" t="s">
        <v>396</v>
      </c>
      <c r="G21" s="37">
        <v>1</v>
      </c>
      <c r="H21" s="37" t="s">
        <v>40</v>
      </c>
      <c r="I21" s="37" t="s">
        <v>114</v>
      </c>
      <c r="J21" s="42" t="s">
        <v>369</v>
      </c>
      <c r="K21" s="42" t="s">
        <v>369</v>
      </c>
      <c r="L21" s="42" t="s">
        <v>369</v>
      </c>
      <c r="M21" s="44"/>
      <c r="N21" s="44"/>
      <c r="O21" s="44"/>
      <c r="P21" s="44"/>
      <c r="Q21" s="44"/>
      <c r="R21" s="44"/>
      <c r="S21" s="44"/>
      <c r="T21" s="44"/>
      <c r="U21" s="44"/>
      <c r="V21" s="45"/>
      <c r="W21" s="44"/>
      <c r="X21" s="44"/>
      <c r="Y21" s="44"/>
      <c r="Z21" s="44"/>
      <c r="AA21" s="86" t="s">
        <v>442</v>
      </c>
      <c r="AB21" s="86" t="s">
        <v>443</v>
      </c>
      <c r="AC21" s="101"/>
      <c r="AD21" s="102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5"/>
      <c r="AR21" s="44"/>
      <c r="AS21" s="44"/>
      <c r="AT21" s="44"/>
      <c r="AU21" s="45"/>
      <c r="AV21" s="45"/>
      <c r="AW21" s="44"/>
      <c r="AX21" s="44"/>
      <c r="AY21" s="44"/>
      <c r="AZ21" s="44"/>
      <c r="BB21" s="81"/>
    </row>
    <row r="22" spans="1:55" s="47" customFormat="1" ht="34.200000000000003" customHeight="1">
      <c r="B22" s="37"/>
      <c r="C22" s="37" t="s">
        <v>898</v>
      </c>
      <c r="D22" s="37" t="s">
        <v>900</v>
      </c>
      <c r="E22" s="44" t="s">
        <v>145</v>
      </c>
      <c r="F22" s="44"/>
      <c r="G22" s="37"/>
      <c r="H22" s="37"/>
      <c r="I22" s="37"/>
      <c r="J22" s="42"/>
      <c r="K22" s="42"/>
      <c r="L22" s="42"/>
      <c r="M22" s="44"/>
      <c r="N22" s="44"/>
      <c r="O22" s="44"/>
      <c r="P22" s="44"/>
      <c r="Q22" s="44"/>
      <c r="R22" s="44"/>
      <c r="S22" s="44"/>
      <c r="T22" s="44"/>
      <c r="U22" s="44"/>
      <c r="V22" s="45"/>
      <c r="W22" s="44"/>
      <c r="X22" s="44"/>
      <c r="Y22" s="44"/>
      <c r="Z22" s="44"/>
      <c r="AA22" s="44"/>
      <c r="AB22" s="44"/>
      <c r="AC22" s="101"/>
      <c r="AD22" s="102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5"/>
      <c r="AR22" s="44"/>
      <c r="AS22" s="44"/>
      <c r="AT22" s="44"/>
      <c r="AU22" s="45"/>
      <c r="AV22" s="45"/>
      <c r="AW22" s="44"/>
      <c r="AX22" s="44"/>
      <c r="AY22" s="44"/>
      <c r="AZ22" s="44"/>
      <c r="BB22" s="81"/>
    </row>
    <row r="23" spans="1:55" s="47" customFormat="1" ht="34.200000000000003" customHeight="1" thickBot="1">
      <c r="B23" s="37"/>
      <c r="C23" s="37" t="s">
        <v>898</v>
      </c>
      <c r="D23" s="37" t="s">
        <v>900</v>
      </c>
      <c r="E23" s="44" t="s">
        <v>398</v>
      </c>
      <c r="F23" s="44"/>
      <c r="G23" s="37"/>
      <c r="H23" s="37"/>
      <c r="I23" s="37"/>
      <c r="J23" s="42"/>
      <c r="K23" s="92"/>
      <c r="L23" s="92"/>
      <c r="M23" s="44"/>
      <c r="N23" s="44"/>
      <c r="O23" s="44"/>
      <c r="P23" s="44"/>
      <c r="Q23" s="44"/>
      <c r="R23" s="44"/>
      <c r="S23" s="44"/>
      <c r="T23" s="44"/>
      <c r="U23" s="44"/>
      <c r="V23" s="45"/>
      <c r="W23" s="44"/>
      <c r="X23" s="44"/>
      <c r="Y23" s="44"/>
      <c r="Z23" s="44"/>
      <c r="AA23" s="44"/>
      <c r="AB23" s="44"/>
      <c r="AC23" s="101"/>
      <c r="AD23" s="102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5"/>
      <c r="AR23" s="44"/>
      <c r="AS23" s="44"/>
      <c r="AT23" s="44"/>
      <c r="AU23" s="45"/>
      <c r="AV23" s="45"/>
      <c r="AW23" s="44"/>
      <c r="AX23" s="44"/>
      <c r="AY23" s="44"/>
      <c r="AZ23" s="44"/>
      <c r="BB23" s="81"/>
    </row>
    <row r="24" spans="1:55" ht="34.200000000000003" customHeight="1" thickBot="1">
      <c r="B24" s="87"/>
      <c r="C24" s="87" t="s">
        <v>898</v>
      </c>
      <c r="D24" s="87" t="s">
        <v>900</v>
      </c>
      <c r="E24" s="88" t="s">
        <v>147</v>
      </c>
      <c r="F24" s="88" t="s">
        <v>350</v>
      </c>
      <c r="G24" s="87">
        <v>3</v>
      </c>
      <c r="H24" s="87" t="s">
        <v>40</v>
      </c>
      <c r="I24" s="87" t="s">
        <v>114</v>
      </c>
      <c r="J24" s="90" t="s">
        <v>369</v>
      </c>
      <c r="K24" s="94" t="s">
        <v>369</v>
      </c>
      <c r="L24" s="95" t="s">
        <v>369</v>
      </c>
      <c r="M24" s="91"/>
      <c r="N24" s="88"/>
      <c r="O24" s="88"/>
      <c r="P24" s="88"/>
      <c r="Q24" s="88"/>
      <c r="R24" s="88"/>
      <c r="S24" s="88"/>
      <c r="T24" s="88"/>
      <c r="U24" s="88"/>
      <c r="V24" s="89"/>
      <c r="W24" s="88"/>
      <c r="X24" s="88"/>
      <c r="Y24" s="88"/>
      <c r="Z24" s="88"/>
      <c r="AA24" s="88" t="s">
        <v>500</v>
      </c>
      <c r="AB24" s="88" t="s">
        <v>492</v>
      </c>
      <c r="AC24" s="101"/>
      <c r="AD24" s="102"/>
      <c r="AE24" s="88" t="s">
        <v>500</v>
      </c>
      <c r="AF24" s="88" t="s">
        <v>493</v>
      </c>
      <c r="AG24" s="88" t="s">
        <v>500</v>
      </c>
      <c r="AH24" s="88" t="s">
        <v>494</v>
      </c>
      <c r="AI24" s="88" t="s">
        <v>343</v>
      </c>
      <c r="AJ24" s="88" t="s">
        <v>496</v>
      </c>
      <c r="AK24" s="88" t="s">
        <v>343</v>
      </c>
      <c r="AL24" s="88" t="s">
        <v>495</v>
      </c>
      <c r="AM24" s="42" t="s">
        <v>348</v>
      </c>
      <c r="AN24" s="42" t="s">
        <v>499</v>
      </c>
      <c r="AO24" s="88"/>
      <c r="AP24" s="88"/>
      <c r="AQ24" s="45" t="s">
        <v>369</v>
      </c>
      <c r="AR24" s="45"/>
      <c r="AS24" s="45"/>
      <c r="AT24" s="45"/>
      <c r="AU24" s="45" t="s">
        <v>369</v>
      </c>
      <c r="AV24" s="45" t="s">
        <v>369</v>
      </c>
      <c r="AW24" s="42"/>
      <c r="AX24" s="46"/>
      <c r="AY24" s="42"/>
      <c r="AZ24" s="42"/>
      <c r="BB24" s="85" t="s">
        <v>369</v>
      </c>
    </row>
    <row r="25" spans="1:55" ht="34.200000000000003" customHeight="1">
      <c r="B25" s="36"/>
      <c r="C25" s="36" t="s">
        <v>898</v>
      </c>
      <c r="D25" s="36" t="s">
        <v>900</v>
      </c>
      <c r="E25" s="42" t="s">
        <v>147</v>
      </c>
      <c r="F25" s="44" t="s">
        <v>350</v>
      </c>
      <c r="G25" s="36">
        <v>3</v>
      </c>
      <c r="H25" s="36" t="s">
        <v>330</v>
      </c>
      <c r="I25" s="36" t="s">
        <v>331</v>
      </c>
      <c r="J25" s="42" t="s">
        <v>369</v>
      </c>
      <c r="K25" s="93" t="s">
        <v>369</v>
      </c>
      <c r="L25" s="93" t="s">
        <v>369</v>
      </c>
      <c r="M25" s="44"/>
      <c r="N25" s="44"/>
      <c r="O25" s="44"/>
      <c r="P25" s="44"/>
      <c r="Q25" s="44"/>
      <c r="R25" s="44"/>
      <c r="S25" s="42"/>
      <c r="T25" s="42"/>
      <c r="U25" s="44"/>
      <c r="V25" s="45"/>
      <c r="W25" s="42"/>
      <c r="X25" s="42"/>
      <c r="Y25" s="42"/>
      <c r="Z25" s="42"/>
      <c r="AA25" s="45" t="s">
        <v>345</v>
      </c>
      <c r="AB25" s="45" t="s">
        <v>497</v>
      </c>
      <c r="AC25" s="101"/>
      <c r="AD25" s="102"/>
      <c r="AE25" s="44" t="s">
        <v>345</v>
      </c>
      <c r="AF25" s="45" t="s">
        <v>498</v>
      </c>
      <c r="AG25" s="42"/>
      <c r="AH25" s="42"/>
      <c r="AI25" s="45"/>
      <c r="AJ25" s="45"/>
      <c r="AK25" s="44"/>
      <c r="AL25" s="44"/>
      <c r="AM25" s="44"/>
      <c r="AN25" s="44"/>
      <c r="AO25" s="44"/>
      <c r="AP25" s="42"/>
      <c r="AQ25" s="45" t="s">
        <v>369</v>
      </c>
      <c r="AR25" s="45"/>
      <c r="AS25" s="45"/>
      <c r="AT25" s="45"/>
      <c r="AU25" s="45" t="s">
        <v>369</v>
      </c>
      <c r="AV25" s="45" t="s">
        <v>369</v>
      </c>
      <c r="AW25" s="42"/>
      <c r="AX25" s="46"/>
      <c r="AY25" s="42"/>
      <c r="AZ25" s="42"/>
      <c r="BB25" s="85" t="s">
        <v>369</v>
      </c>
    </row>
    <row r="26" spans="1:55" ht="34.200000000000003" customHeight="1">
      <c r="B26" s="36"/>
      <c r="C26" s="36" t="s">
        <v>898</v>
      </c>
      <c r="D26" s="36" t="s">
        <v>900</v>
      </c>
      <c r="E26" s="42" t="s">
        <v>147</v>
      </c>
      <c r="F26" s="44" t="s">
        <v>350</v>
      </c>
      <c r="G26" s="36">
        <v>4</v>
      </c>
      <c r="H26" s="36" t="s">
        <v>40</v>
      </c>
      <c r="I26" s="36" t="s">
        <v>114</v>
      </c>
      <c r="J26" s="42">
        <v>1</v>
      </c>
      <c r="K26" s="44" t="s">
        <v>504</v>
      </c>
      <c r="L26" s="44" t="s">
        <v>505</v>
      </c>
      <c r="M26" s="44"/>
      <c r="N26" s="44"/>
      <c r="O26" s="44"/>
      <c r="P26" s="44"/>
      <c r="Q26" s="44"/>
      <c r="R26" s="44"/>
      <c r="S26" s="44"/>
      <c r="T26" s="44"/>
      <c r="U26" s="44"/>
      <c r="V26" s="45"/>
      <c r="W26" s="44"/>
      <c r="X26" s="44"/>
      <c r="Y26" s="44"/>
      <c r="Z26" s="44"/>
      <c r="AA26" s="45" t="s">
        <v>346</v>
      </c>
      <c r="AB26" s="45" t="s">
        <v>509</v>
      </c>
      <c r="AC26" s="101"/>
      <c r="AD26" s="102"/>
      <c r="AE26" s="44" t="s">
        <v>347</v>
      </c>
      <c r="AF26" s="45" t="s">
        <v>503</v>
      </c>
      <c r="AG26" s="42"/>
      <c r="AH26" s="42"/>
      <c r="AI26" s="45"/>
      <c r="AJ26" s="45"/>
      <c r="AK26" s="44"/>
      <c r="AL26" s="44"/>
      <c r="AM26" s="44"/>
      <c r="AN26" s="44"/>
      <c r="AO26" s="44"/>
      <c r="AP26" s="42"/>
      <c r="AQ26" s="42" t="s">
        <v>506</v>
      </c>
      <c r="AR26" s="42"/>
      <c r="AS26" s="42"/>
      <c r="AT26" s="42"/>
      <c r="AU26" s="45" t="s">
        <v>465</v>
      </c>
      <c r="AV26" s="45" t="s">
        <v>449</v>
      </c>
      <c r="AW26" s="42"/>
      <c r="AX26" s="46"/>
      <c r="AY26" s="42"/>
      <c r="AZ26" s="42"/>
      <c r="BB26" s="85" t="s">
        <v>480</v>
      </c>
    </row>
    <row r="27" spans="1:55" ht="34.200000000000003" customHeight="1">
      <c r="B27" s="36"/>
      <c r="C27" s="36" t="s">
        <v>898</v>
      </c>
      <c r="D27" s="36" t="s">
        <v>900</v>
      </c>
      <c r="E27" s="42" t="s">
        <v>329</v>
      </c>
      <c r="F27" s="44" t="s">
        <v>350</v>
      </c>
      <c r="G27" s="36">
        <v>3</v>
      </c>
      <c r="H27" s="36" t="s">
        <v>330</v>
      </c>
      <c r="I27" s="36" t="s">
        <v>331</v>
      </c>
      <c r="J27" s="42">
        <v>2</v>
      </c>
      <c r="K27" s="43" t="s">
        <v>508</v>
      </c>
      <c r="L27" s="43" t="s">
        <v>507</v>
      </c>
      <c r="M27" s="44"/>
      <c r="N27" s="44"/>
      <c r="O27" s="44"/>
      <c r="P27" s="44"/>
      <c r="Q27" s="44"/>
      <c r="R27" s="44"/>
      <c r="S27" s="42"/>
      <c r="T27" s="42"/>
      <c r="U27" s="44"/>
      <c r="V27" s="45"/>
      <c r="W27" s="42"/>
      <c r="X27" s="42"/>
      <c r="Y27" s="42"/>
      <c r="Z27" s="42"/>
      <c r="AA27" s="44" t="s">
        <v>369</v>
      </c>
      <c r="AB27" s="44" t="s">
        <v>369</v>
      </c>
      <c r="AC27" s="101"/>
      <c r="AD27" s="10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5" t="s">
        <v>369</v>
      </c>
      <c r="AR27" s="42"/>
      <c r="AS27" s="42"/>
      <c r="AT27" s="42"/>
      <c r="AU27" s="45" t="s">
        <v>465</v>
      </c>
      <c r="AV27" s="45" t="s">
        <v>449</v>
      </c>
      <c r="AW27" s="42"/>
      <c r="AX27" s="46"/>
      <c r="AY27" s="42"/>
      <c r="AZ27" s="42"/>
      <c r="BB27" s="81" t="s">
        <v>490</v>
      </c>
      <c r="BC27" s="47" t="s">
        <v>491</v>
      </c>
    </row>
    <row r="28" spans="1:55" ht="34.200000000000003" customHeight="1">
      <c r="B28" s="36"/>
      <c r="C28" s="36" t="s">
        <v>898</v>
      </c>
      <c r="D28" s="36" t="s">
        <v>900</v>
      </c>
      <c r="E28" s="42" t="s">
        <v>329</v>
      </c>
      <c r="F28" s="44" t="s">
        <v>350</v>
      </c>
      <c r="G28" s="36">
        <v>3</v>
      </c>
      <c r="H28" s="36" t="s">
        <v>330</v>
      </c>
      <c r="I28" s="36" t="s">
        <v>331</v>
      </c>
      <c r="J28" s="42">
        <v>3</v>
      </c>
      <c r="K28" s="42" t="s">
        <v>511</v>
      </c>
      <c r="L28" s="42" t="s">
        <v>512</v>
      </c>
      <c r="M28" s="44"/>
      <c r="N28" s="44"/>
      <c r="O28" s="44"/>
      <c r="P28" s="44"/>
      <c r="Q28" s="44"/>
      <c r="R28" s="44"/>
      <c r="S28" s="42"/>
      <c r="T28" s="42"/>
      <c r="U28" s="42"/>
      <c r="V28" s="42"/>
      <c r="W28" s="42"/>
      <c r="X28" s="42"/>
      <c r="Y28" s="42"/>
      <c r="Z28" s="42"/>
      <c r="AA28" s="44" t="s">
        <v>344</v>
      </c>
      <c r="AB28" s="44" t="s">
        <v>510</v>
      </c>
      <c r="AC28" s="101"/>
      <c r="AD28" s="102"/>
      <c r="AE28" s="44"/>
      <c r="AF28" s="44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3" t="s">
        <v>513</v>
      </c>
      <c r="AR28" s="42"/>
      <c r="AS28" s="42"/>
      <c r="AT28" s="42"/>
      <c r="AU28" s="45" t="s">
        <v>465</v>
      </c>
      <c r="AV28" s="45" t="s">
        <v>449</v>
      </c>
      <c r="AW28" s="42"/>
      <c r="AX28" s="46"/>
      <c r="AY28" s="42"/>
      <c r="AZ28" s="42"/>
      <c r="BB28" s="85" t="s">
        <v>480</v>
      </c>
    </row>
    <row r="29" spans="1:55" ht="34.200000000000003" customHeight="1">
      <c r="B29" s="36"/>
      <c r="C29" s="36" t="s">
        <v>898</v>
      </c>
      <c r="D29" s="36" t="s">
        <v>900</v>
      </c>
      <c r="E29" s="42" t="s">
        <v>147</v>
      </c>
      <c r="F29" s="44" t="s">
        <v>350</v>
      </c>
      <c r="G29" s="36">
        <v>3</v>
      </c>
      <c r="H29" s="36" t="s">
        <v>40</v>
      </c>
      <c r="I29" s="36" t="s">
        <v>114</v>
      </c>
      <c r="J29" s="42" t="s">
        <v>369</v>
      </c>
      <c r="K29" s="42" t="s">
        <v>369</v>
      </c>
      <c r="L29" s="42" t="s">
        <v>369</v>
      </c>
      <c r="M29" s="44"/>
      <c r="N29" s="44"/>
      <c r="O29" s="44"/>
      <c r="P29" s="44"/>
      <c r="Q29" s="44"/>
      <c r="R29" s="44"/>
      <c r="S29" s="42"/>
      <c r="T29" s="42"/>
      <c r="U29" s="42"/>
      <c r="V29" s="42"/>
      <c r="W29" s="42"/>
      <c r="X29" s="42"/>
      <c r="Y29" s="42"/>
      <c r="Z29" s="42"/>
      <c r="AA29" s="42" t="s">
        <v>515</v>
      </c>
      <c r="AB29" s="44" t="s">
        <v>514</v>
      </c>
      <c r="AC29" s="101"/>
      <c r="AD29" s="102"/>
      <c r="AE29" s="44"/>
      <c r="AF29" s="44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5" t="s">
        <v>369</v>
      </c>
      <c r="AR29" s="42"/>
      <c r="AS29" s="42"/>
      <c r="AT29" s="42"/>
      <c r="AU29" s="45" t="s">
        <v>369</v>
      </c>
      <c r="AV29" s="45" t="s">
        <v>369</v>
      </c>
      <c r="AW29" s="42"/>
      <c r="AX29" s="46"/>
      <c r="AY29" s="42"/>
      <c r="AZ29" s="42"/>
      <c r="BB29" s="85" t="s">
        <v>369</v>
      </c>
    </row>
    <row r="30" spans="1:55" ht="34.200000000000003" customHeight="1">
      <c r="B30" s="36"/>
      <c r="C30" s="36" t="s">
        <v>898</v>
      </c>
      <c r="D30" s="36" t="s">
        <v>900</v>
      </c>
      <c r="E30" s="42" t="s">
        <v>329</v>
      </c>
      <c r="F30" s="44" t="s">
        <v>350</v>
      </c>
      <c r="G30" s="36">
        <v>3</v>
      </c>
      <c r="H30" s="36" t="s">
        <v>330</v>
      </c>
      <c r="I30" s="36" t="s">
        <v>331</v>
      </c>
      <c r="J30" s="42">
        <v>4</v>
      </c>
      <c r="K30" s="45" t="s">
        <v>518</v>
      </c>
      <c r="L30" s="45" t="s">
        <v>519</v>
      </c>
      <c r="M30" s="44"/>
      <c r="N30" s="44"/>
      <c r="O30" s="44"/>
      <c r="P30" s="44"/>
      <c r="Q30" s="44"/>
      <c r="R30" s="44"/>
      <c r="S30" s="42"/>
      <c r="T30" s="42"/>
      <c r="U30" s="42"/>
      <c r="V30" s="45"/>
      <c r="W30" s="42"/>
      <c r="X30" s="42"/>
      <c r="Y30" s="42"/>
      <c r="Z30" s="42"/>
      <c r="AA30" s="42" t="s">
        <v>516</v>
      </c>
      <c r="AB30" s="42" t="s">
        <v>517</v>
      </c>
      <c r="AC30" s="101"/>
      <c r="AD30" s="10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5" t="s">
        <v>520</v>
      </c>
      <c r="AR30" s="42"/>
      <c r="AS30" s="42"/>
      <c r="AT30" s="42"/>
      <c r="AU30" s="45" t="s">
        <v>465</v>
      </c>
      <c r="AV30" s="45" t="s">
        <v>449</v>
      </c>
      <c r="AW30" s="42"/>
      <c r="AX30" s="46"/>
      <c r="AY30" s="42"/>
      <c r="AZ30" s="42"/>
      <c r="BB30" s="85" t="s">
        <v>480</v>
      </c>
    </row>
    <row r="31" spans="1:55" ht="34.200000000000003" customHeight="1">
      <c r="B31" s="36"/>
      <c r="C31" s="36" t="s">
        <v>898</v>
      </c>
      <c r="D31" s="36" t="s">
        <v>900</v>
      </c>
      <c r="E31" s="42" t="s">
        <v>329</v>
      </c>
      <c r="F31" s="44" t="s">
        <v>350</v>
      </c>
      <c r="G31" s="36">
        <v>3</v>
      </c>
      <c r="H31" s="36" t="s">
        <v>330</v>
      </c>
      <c r="I31" s="36" t="s">
        <v>331</v>
      </c>
      <c r="J31" s="42">
        <v>5</v>
      </c>
      <c r="K31" s="97" t="s">
        <v>523</v>
      </c>
      <c r="L31" s="43" t="s">
        <v>525</v>
      </c>
      <c r="M31" s="42"/>
      <c r="N31" s="42"/>
      <c r="O31" s="42"/>
      <c r="P31" s="42"/>
      <c r="Q31" s="42"/>
      <c r="R31" s="42"/>
      <c r="S31" s="42"/>
      <c r="T31" s="42"/>
      <c r="U31" s="44"/>
      <c r="V31" s="45"/>
      <c r="W31" s="42"/>
      <c r="X31" s="42"/>
      <c r="Y31" s="42"/>
      <c r="Z31" s="42"/>
      <c r="AA31" s="42" t="s">
        <v>349</v>
      </c>
      <c r="AB31" s="42" t="s">
        <v>521</v>
      </c>
      <c r="AC31" s="101"/>
      <c r="AD31" s="102"/>
      <c r="AE31" s="42" t="s">
        <v>522</v>
      </c>
      <c r="AF31" s="42" t="s">
        <v>524</v>
      </c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3" t="s">
        <v>526</v>
      </c>
      <c r="AR31" s="42"/>
      <c r="AS31" s="42"/>
      <c r="AT31" s="42"/>
      <c r="AU31" s="45" t="s">
        <v>465</v>
      </c>
      <c r="AV31" s="45" t="s">
        <v>449</v>
      </c>
      <c r="AW31" s="42"/>
      <c r="AX31" s="46"/>
      <c r="AY31" s="42"/>
      <c r="AZ31" s="42"/>
      <c r="BB31" s="85" t="s">
        <v>480</v>
      </c>
    </row>
    <row r="32" spans="1:55" ht="34.200000000000003" customHeight="1">
      <c r="A32" s="4" t="s">
        <v>444</v>
      </c>
      <c r="B32" s="36"/>
      <c r="C32" s="36" t="s">
        <v>898</v>
      </c>
      <c r="D32" s="36" t="s">
        <v>900</v>
      </c>
      <c r="E32" s="42" t="s">
        <v>147</v>
      </c>
      <c r="F32" s="44" t="s">
        <v>350</v>
      </c>
      <c r="G32" s="36">
        <v>3</v>
      </c>
      <c r="H32" s="36" t="s">
        <v>40</v>
      </c>
      <c r="I32" s="36" t="s">
        <v>114</v>
      </c>
      <c r="J32" s="42" t="s">
        <v>369</v>
      </c>
      <c r="K32" s="42" t="s">
        <v>369</v>
      </c>
      <c r="L32" s="42" t="s">
        <v>369</v>
      </c>
      <c r="M32" s="42"/>
      <c r="N32" s="42"/>
      <c r="O32" s="42"/>
      <c r="P32" s="42"/>
      <c r="Q32" s="42"/>
      <c r="R32" s="42"/>
      <c r="S32" s="42"/>
      <c r="T32" s="42"/>
      <c r="U32" s="44"/>
      <c r="V32" s="45"/>
      <c r="W32" s="42"/>
      <c r="X32" s="42"/>
      <c r="Y32" s="42"/>
      <c r="Z32" s="42"/>
      <c r="AA32" s="86" t="s">
        <v>442</v>
      </c>
      <c r="AB32" s="96" t="s">
        <v>534</v>
      </c>
      <c r="AC32" s="101"/>
      <c r="AD32" s="10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5" t="s">
        <v>369</v>
      </c>
      <c r="AR32" s="42"/>
      <c r="AS32" s="42"/>
      <c r="AT32" s="42"/>
      <c r="AU32" s="45" t="s">
        <v>369</v>
      </c>
      <c r="AV32" s="45" t="s">
        <v>369</v>
      </c>
      <c r="AW32" s="42"/>
      <c r="AX32" s="46"/>
      <c r="AY32" s="42"/>
      <c r="AZ32" s="42"/>
      <c r="BB32" s="85" t="s">
        <v>369</v>
      </c>
    </row>
    <row r="33" spans="1:54" ht="34.200000000000003" customHeight="1">
      <c r="B33" s="36"/>
      <c r="C33" s="36" t="s">
        <v>898</v>
      </c>
      <c r="D33" s="36" t="s">
        <v>900</v>
      </c>
      <c r="E33" s="42" t="s">
        <v>329</v>
      </c>
      <c r="F33" s="44" t="s">
        <v>186</v>
      </c>
      <c r="G33" s="36">
        <v>3</v>
      </c>
      <c r="H33" s="36" t="s">
        <v>330</v>
      </c>
      <c r="I33" s="36" t="s">
        <v>331</v>
      </c>
      <c r="J33" s="42" t="s">
        <v>369</v>
      </c>
      <c r="K33" s="42" t="s">
        <v>369</v>
      </c>
      <c r="L33" s="42" t="s">
        <v>369</v>
      </c>
      <c r="M33" s="44"/>
      <c r="N33" s="44"/>
      <c r="O33" s="44"/>
      <c r="P33" s="42"/>
      <c r="Q33" s="42"/>
      <c r="R33" s="42"/>
      <c r="S33" s="42"/>
      <c r="T33" s="42"/>
      <c r="U33" s="42"/>
      <c r="V33" s="45"/>
      <c r="W33" s="42"/>
      <c r="X33" s="42"/>
      <c r="Y33" s="42"/>
      <c r="Z33" s="42"/>
      <c r="AA33" s="42" t="s">
        <v>352</v>
      </c>
      <c r="AB33" s="42" t="s">
        <v>527</v>
      </c>
      <c r="AC33" s="101"/>
      <c r="AD33" s="101"/>
      <c r="AE33" s="42" t="s">
        <v>353</v>
      </c>
      <c r="AF33" s="42" t="s">
        <v>354</v>
      </c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5" t="s">
        <v>369</v>
      </c>
      <c r="AR33" s="42"/>
      <c r="AS33" s="42"/>
      <c r="AT33" s="42"/>
      <c r="AU33" s="45" t="s">
        <v>369</v>
      </c>
      <c r="AV33" s="45" t="s">
        <v>369</v>
      </c>
      <c r="AW33" s="42"/>
      <c r="AX33" s="46"/>
      <c r="AY33" s="42"/>
      <c r="AZ33" s="42"/>
      <c r="BB33" s="85" t="s">
        <v>369</v>
      </c>
    </row>
    <row r="34" spans="1:54" ht="34.200000000000003" customHeight="1">
      <c r="B34" s="36"/>
      <c r="C34" s="36" t="s">
        <v>898</v>
      </c>
      <c r="D34" s="36" t="s">
        <v>900</v>
      </c>
      <c r="E34" s="42" t="s">
        <v>147</v>
      </c>
      <c r="F34" s="44" t="s">
        <v>186</v>
      </c>
      <c r="G34" s="36">
        <v>3</v>
      </c>
      <c r="H34" s="36" t="s">
        <v>40</v>
      </c>
      <c r="I34" s="36" t="s">
        <v>114</v>
      </c>
      <c r="J34" s="42">
        <v>6</v>
      </c>
      <c r="K34" s="44" t="s">
        <v>530</v>
      </c>
      <c r="L34" s="44" t="s">
        <v>529</v>
      </c>
      <c r="M34" s="44"/>
      <c r="N34" s="44"/>
      <c r="O34" s="44"/>
      <c r="P34" s="42"/>
      <c r="Q34" s="42"/>
      <c r="R34" s="42"/>
      <c r="S34" s="42"/>
      <c r="T34" s="42"/>
      <c r="U34" s="42"/>
      <c r="V34" s="45"/>
      <c r="W34" s="42"/>
      <c r="X34" s="42"/>
      <c r="Y34" s="42"/>
      <c r="Z34" s="42"/>
      <c r="AA34" s="44" t="s">
        <v>351</v>
      </c>
      <c r="AB34" s="4" t="s">
        <v>528</v>
      </c>
      <c r="AC34" s="101"/>
      <c r="AD34" s="10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5" t="s">
        <v>531</v>
      </c>
      <c r="AR34" s="42"/>
      <c r="AS34" s="42"/>
      <c r="AT34" s="42"/>
      <c r="AU34" s="45" t="s">
        <v>465</v>
      </c>
      <c r="AV34" s="45" t="s">
        <v>449</v>
      </c>
      <c r="AW34" s="42"/>
      <c r="AX34" s="46"/>
      <c r="AY34" s="42"/>
      <c r="AZ34" s="42"/>
      <c r="BB34" s="85" t="s">
        <v>480</v>
      </c>
    </row>
    <row r="35" spans="1:54" ht="34.200000000000003" customHeight="1">
      <c r="A35" s="4" t="s">
        <v>444</v>
      </c>
      <c r="B35" s="36"/>
      <c r="C35" s="36" t="s">
        <v>898</v>
      </c>
      <c r="D35" s="36" t="s">
        <v>900</v>
      </c>
      <c r="E35" s="42" t="s">
        <v>147</v>
      </c>
      <c r="F35" s="44" t="s">
        <v>186</v>
      </c>
      <c r="G35" s="36">
        <v>3</v>
      </c>
      <c r="H35" s="36" t="s">
        <v>40</v>
      </c>
      <c r="I35" s="36" t="s">
        <v>114</v>
      </c>
      <c r="J35" s="42" t="s">
        <v>369</v>
      </c>
      <c r="K35" s="42" t="s">
        <v>369</v>
      </c>
      <c r="L35" s="42" t="s">
        <v>369</v>
      </c>
      <c r="M35" s="42"/>
      <c r="N35" s="42"/>
      <c r="O35" s="42"/>
      <c r="P35" s="42"/>
      <c r="Q35" s="42"/>
      <c r="R35" s="42"/>
      <c r="S35" s="42"/>
      <c r="T35" s="42"/>
      <c r="U35" s="42"/>
      <c r="V35" s="43"/>
      <c r="W35" s="42"/>
      <c r="X35" s="42"/>
      <c r="Y35" s="42"/>
      <c r="Z35" s="42"/>
      <c r="AA35" s="86" t="s">
        <v>442</v>
      </c>
      <c r="AB35" s="86" t="s">
        <v>535</v>
      </c>
      <c r="AC35" s="101"/>
      <c r="AD35" s="10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5" t="s">
        <v>369</v>
      </c>
      <c r="AR35" s="42"/>
      <c r="AS35" s="42"/>
      <c r="AT35" s="42"/>
      <c r="AU35" s="45" t="s">
        <v>369</v>
      </c>
      <c r="AV35" s="45" t="s">
        <v>369</v>
      </c>
      <c r="AW35" s="42"/>
      <c r="AX35" s="46"/>
      <c r="AY35" s="42"/>
      <c r="AZ35" s="42"/>
      <c r="BB35" s="85" t="s">
        <v>369</v>
      </c>
    </row>
    <row r="36" spans="1:54" ht="34.200000000000003" customHeight="1">
      <c r="B36" s="36"/>
      <c r="C36" s="36" t="s">
        <v>898</v>
      </c>
      <c r="D36" s="36" t="s">
        <v>900</v>
      </c>
      <c r="E36" s="42" t="s">
        <v>329</v>
      </c>
      <c r="F36" s="44" t="s">
        <v>355</v>
      </c>
      <c r="G36" s="36">
        <v>3</v>
      </c>
      <c r="H36" s="36" t="s">
        <v>330</v>
      </c>
      <c r="I36" s="36" t="s">
        <v>331</v>
      </c>
      <c r="J36" s="42">
        <v>7</v>
      </c>
      <c r="K36" s="42" t="s">
        <v>532</v>
      </c>
      <c r="L36" s="43" t="s">
        <v>533</v>
      </c>
      <c r="M36" s="42"/>
      <c r="N36" s="42"/>
      <c r="O36" s="42"/>
      <c r="P36" s="42"/>
      <c r="Q36" s="42"/>
      <c r="R36" s="42"/>
      <c r="S36" s="42"/>
      <c r="T36" s="42"/>
      <c r="U36" s="42"/>
      <c r="V36" s="43"/>
      <c r="W36" s="42"/>
      <c r="X36" s="42"/>
      <c r="Y36" s="42"/>
      <c r="Z36" s="42"/>
      <c r="AA36" s="42" t="s">
        <v>356</v>
      </c>
      <c r="AB36" s="42" t="s">
        <v>357</v>
      </c>
      <c r="AC36" s="101"/>
      <c r="AD36" s="10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5" t="s">
        <v>542</v>
      </c>
      <c r="AR36" s="42"/>
      <c r="AS36" s="42"/>
      <c r="AT36" s="42"/>
      <c r="AU36" s="45" t="s">
        <v>465</v>
      </c>
      <c r="AV36" s="45" t="s">
        <v>449</v>
      </c>
      <c r="AW36" s="42"/>
      <c r="AX36" s="46"/>
      <c r="AY36" s="42"/>
      <c r="AZ36" s="42"/>
      <c r="BB36" s="85" t="s">
        <v>480</v>
      </c>
    </row>
    <row r="37" spans="1:54" s="47" customFormat="1" ht="34.200000000000003" customHeight="1">
      <c r="A37" s="4"/>
      <c r="B37" s="37"/>
      <c r="C37" s="37" t="s">
        <v>898</v>
      </c>
      <c r="D37" s="37" t="s">
        <v>900</v>
      </c>
      <c r="E37" s="42" t="s">
        <v>329</v>
      </c>
      <c r="F37" s="44" t="s">
        <v>355</v>
      </c>
      <c r="G37" s="36">
        <v>3</v>
      </c>
      <c r="H37" s="36" t="s">
        <v>40</v>
      </c>
      <c r="I37" s="36" t="s">
        <v>114</v>
      </c>
      <c r="J37" s="44">
        <v>8</v>
      </c>
      <c r="K37" s="44" t="s">
        <v>537</v>
      </c>
      <c r="L37" s="45" t="s">
        <v>545</v>
      </c>
      <c r="M37" s="44"/>
      <c r="N37" s="44"/>
      <c r="O37" s="44"/>
      <c r="P37" s="44"/>
      <c r="Q37" s="44"/>
      <c r="R37" s="44"/>
      <c r="S37" s="44"/>
      <c r="T37" s="44"/>
      <c r="U37" s="44"/>
      <c r="V37" s="45"/>
      <c r="W37" s="44"/>
      <c r="X37" s="44"/>
      <c r="Y37" s="44"/>
      <c r="Z37" s="44"/>
      <c r="AA37" s="44" t="s">
        <v>358</v>
      </c>
      <c r="AB37" s="44" t="s">
        <v>536</v>
      </c>
      <c r="AC37" s="101"/>
      <c r="AD37" s="102"/>
      <c r="AE37" s="44"/>
      <c r="AF37" s="45"/>
      <c r="AG37" s="45"/>
      <c r="AH37" s="45"/>
      <c r="AI37" s="45"/>
      <c r="AJ37" s="45"/>
      <c r="AK37" s="45"/>
      <c r="AL37" s="45"/>
      <c r="AM37" s="45"/>
      <c r="AN37" s="45"/>
      <c r="AO37" s="44"/>
      <c r="AP37" s="44"/>
      <c r="AQ37" s="45" t="s">
        <v>541</v>
      </c>
      <c r="AR37" s="44"/>
      <c r="AS37" s="44"/>
      <c r="AT37" s="44"/>
      <c r="AU37" s="45" t="s">
        <v>465</v>
      </c>
      <c r="AV37" s="45" t="s">
        <v>449</v>
      </c>
      <c r="AW37" s="44"/>
      <c r="AX37" s="46"/>
      <c r="AY37" s="44"/>
      <c r="AZ37" s="44"/>
      <c r="BB37" s="85" t="s">
        <v>480</v>
      </c>
    </row>
    <row r="38" spans="1:54" s="47" customFormat="1" ht="34.200000000000003" customHeight="1">
      <c r="B38" s="37"/>
      <c r="C38" s="37" t="s">
        <v>898</v>
      </c>
      <c r="D38" s="37" t="s">
        <v>900</v>
      </c>
      <c r="E38" s="44" t="s">
        <v>147</v>
      </c>
      <c r="F38" s="44" t="s">
        <v>365</v>
      </c>
      <c r="G38" s="36">
        <v>4</v>
      </c>
      <c r="H38" s="36" t="s">
        <v>40</v>
      </c>
      <c r="I38" s="36" t="s">
        <v>114</v>
      </c>
      <c r="J38" s="42" t="s">
        <v>369</v>
      </c>
      <c r="K38" s="42" t="s">
        <v>369</v>
      </c>
      <c r="L38" s="42" t="s">
        <v>369</v>
      </c>
      <c r="M38" s="44"/>
      <c r="N38" s="44"/>
      <c r="O38" s="44"/>
      <c r="P38" s="44"/>
      <c r="Q38" s="44"/>
      <c r="R38" s="44"/>
      <c r="S38" s="44"/>
      <c r="T38" s="44"/>
      <c r="U38" s="44"/>
      <c r="V38" s="45"/>
      <c r="W38" s="44"/>
      <c r="X38" s="44"/>
      <c r="Y38" s="44"/>
      <c r="Z38" s="44"/>
      <c r="AA38" s="44" t="s">
        <v>370</v>
      </c>
      <c r="AB38" s="44" t="s">
        <v>538</v>
      </c>
      <c r="AC38" s="101"/>
      <c r="AD38" s="102"/>
      <c r="AE38" s="44"/>
      <c r="AF38" s="45"/>
      <c r="AG38" s="45"/>
      <c r="AH38" s="45"/>
      <c r="AI38" s="45"/>
      <c r="AJ38" s="45"/>
      <c r="AK38" s="45"/>
      <c r="AL38" s="45"/>
      <c r="AM38" s="45"/>
      <c r="AN38" s="45"/>
      <c r="AO38" s="44"/>
      <c r="AP38" s="44"/>
      <c r="AQ38" s="45" t="s">
        <v>369</v>
      </c>
      <c r="AR38" s="44"/>
      <c r="AS38" s="44"/>
      <c r="AT38" s="44"/>
      <c r="AU38" s="45" t="s">
        <v>369</v>
      </c>
      <c r="AV38" s="45" t="s">
        <v>369</v>
      </c>
      <c r="AW38" s="44"/>
      <c r="AX38" s="46"/>
      <c r="AY38" s="44"/>
      <c r="AZ38" s="44"/>
      <c r="BB38" s="85" t="s">
        <v>369</v>
      </c>
    </row>
    <row r="39" spans="1:54" ht="34.200000000000003" customHeight="1">
      <c r="B39" s="36"/>
      <c r="C39" s="36" t="s">
        <v>898</v>
      </c>
      <c r="D39" s="36" t="s">
        <v>900</v>
      </c>
      <c r="E39" s="44" t="s">
        <v>147</v>
      </c>
      <c r="F39" s="44" t="s">
        <v>365</v>
      </c>
      <c r="G39" s="36">
        <v>4</v>
      </c>
      <c r="H39" s="36" t="s">
        <v>40</v>
      </c>
      <c r="I39" s="36" t="s">
        <v>114</v>
      </c>
      <c r="J39" s="42" t="s">
        <v>369</v>
      </c>
      <c r="K39" s="42" t="s">
        <v>369</v>
      </c>
      <c r="L39" s="42" t="s">
        <v>369</v>
      </c>
      <c r="M39" s="42"/>
      <c r="N39" s="42"/>
      <c r="O39" s="42"/>
      <c r="P39" s="42"/>
      <c r="Q39" s="42"/>
      <c r="R39" s="42"/>
      <c r="S39" s="42"/>
      <c r="T39" s="42"/>
      <c r="U39" s="42"/>
      <c r="V39" s="43"/>
      <c r="W39" s="42"/>
      <c r="X39" s="42"/>
      <c r="Y39" s="42"/>
      <c r="Z39" s="42"/>
      <c r="AA39" s="42" t="s">
        <v>367</v>
      </c>
      <c r="AB39" s="42" t="s">
        <v>539</v>
      </c>
      <c r="AC39" s="101"/>
      <c r="AD39" s="102"/>
      <c r="AE39" s="42" t="s">
        <v>366</v>
      </c>
      <c r="AF39" s="42" t="s">
        <v>540</v>
      </c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5" t="s">
        <v>369</v>
      </c>
      <c r="AR39" s="42"/>
      <c r="AS39" s="42"/>
      <c r="AT39" s="42"/>
      <c r="AU39" s="45" t="s">
        <v>369</v>
      </c>
      <c r="AV39" s="45" t="s">
        <v>369</v>
      </c>
      <c r="AW39" s="42"/>
      <c r="AX39" s="46"/>
      <c r="AY39" s="42"/>
      <c r="AZ39" s="42"/>
      <c r="BB39" s="85" t="s">
        <v>369</v>
      </c>
    </row>
    <row r="40" spans="1:54" ht="34.200000000000003" customHeight="1">
      <c r="B40" s="36"/>
      <c r="C40" s="36" t="s">
        <v>898</v>
      </c>
      <c r="D40" s="36" t="s">
        <v>900</v>
      </c>
      <c r="E40" s="44" t="s">
        <v>364</v>
      </c>
      <c r="F40" s="44" t="s">
        <v>365</v>
      </c>
      <c r="G40" s="36">
        <v>4</v>
      </c>
      <c r="H40" s="36" t="s">
        <v>40</v>
      </c>
      <c r="I40" s="36" t="s">
        <v>114</v>
      </c>
      <c r="J40" s="42">
        <v>1</v>
      </c>
      <c r="K40" s="42" t="s">
        <v>544</v>
      </c>
      <c r="L40" s="43" t="s">
        <v>547</v>
      </c>
      <c r="M40" s="42"/>
      <c r="N40" s="42"/>
      <c r="O40" s="42"/>
      <c r="P40" s="42"/>
      <c r="Q40" s="42"/>
      <c r="R40" s="42"/>
      <c r="S40" s="42"/>
      <c r="T40" s="42"/>
      <c r="U40" s="42"/>
      <c r="V40" s="43"/>
      <c r="W40" s="42"/>
      <c r="X40" s="42"/>
      <c r="Y40" s="42"/>
      <c r="Z40" s="42"/>
      <c r="AA40" s="42" t="s">
        <v>368</v>
      </c>
      <c r="AB40" s="42" t="s">
        <v>543</v>
      </c>
      <c r="AC40" s="101"/>
      <c r="AD40" s="10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5" t="s">
        <v>546</v>
      </c>
      <c r="AR40" s="42"/>
      <c r="AS40" s="42"/>
      <c r="AT40" s="42"/>
      <c r="AU40" s="45" t="s">
        <v>465</v>
      </c>
      <c r="AV40" s="45" t="s">
        <v>449</v>
      </c>
      <c r="AW40" s="42"/>
      <c r="AX40" s="46"/>
      <c r="AY40" s="42"/>
      <c r="AZ40" s="42"/>
      <c r="BB40" s="85" t="s">
        <v>480</v>
      </c>
    </row>
    <row r="41" spans="1:54" ht="34.200000000000003" customHeight="1">
      <c r="A41" s="4" t="s">
        <v>446</v>
      </c>
      <c r="B41" s="36"/>
      <c r="C41" s="36" t="s">
        <v>898</v>
      </c>
      <c r="D41" s="36" t="s">
        <v>900</v>
      </c>
      <c r="E41" s="42" t="s">
        <v>364</v>
      </c>
      <c r="F41" s="44" t="s">
        <v>365</v>
      </c>
      <c r="G41" s="36">
        <v>4</v>
      </c>
      <c r="H41" s="36" t="s">
        <v>40</v>
      </c>
      <c r="I41" s="36" t="s">
        <v>114</v>
      </c>
      <c r="J41" s="42" t="s">
        <v>369</v>
      </c>
      <c r="K41" s="42" t="s">
        <v>369</v>
      </c>
      <c r="L41" s="42" t="s">
        <v>369</v>
      </c>
      <c r="M41" s="42"/>
      <c r="N41" s="42"/>
      <c r="O41" s="42"/>
      <c r="P41" s="42"/>
      <c r="Q41" s="42"/>
      <c r="R41" s="42"/>
      <c r="S41" s="42"/>
      <c r="T41" s="42"/>
      <c r="U41" s="42"/>
      <c r="V41" s="43"/>
      <c r="W41" s="42"/>
      <c r="X41" s="42"/>
      <c r="Y41" s="42"/>
      <c r="Z41" s="42"/>
      <c r="AA41" s="42" t="s">
        <v>371</v>
      </c>
      <c r="AB41" s="42" t="s">
        <v>548</v>
      </c>
      <c r="AC41" s="101"/>
      <c r="AD41" s="10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5" t="s">
        <v>369</v>
      </c>
      <c r="AR41" s="42"/>
      <c r="AS41" s="42"/>
      <c r="AT41" s="42"/>
      <c r="AU41" s="45" t="s">
        <v>369</v>
      </c>
      <c r="AV41" s="45" t="s">
        <v>369</v>
      </c>
      <c r="AW41" s="42"/>
      <c r="AX41" s="46"/>
      <c r="AY41" s="42"/>
      <c r="AZ41" s="42"/>
      <c r="BB41" s="85" t="s">
        <v>369</v>
      </c>
    </row>
    <row r="42" spans="1:54" ht="34.200000000000003" customHeight="1">
      <c r="B42" s="36"/>
      <c r="C42" s="36" t="s">
        <v>898</v>
      </c>
      <c r="D42" s="36" t="s">
        <v>900</v>
      </c>
      <c r="E42" s="42" t="s">
        <v>364</v>
      </c>
      <c r="F42" s="44" t="s">
        <v>365</v>
      </c>
      <c r="G42" s="36">
        <v>4</v>
      </c>
      <c r="H42" s="36" t="s">
        <v>40</v>
      </c>
      <c r="I42" s="36" t="s">
        <v>114</v>
      </c>
      <c r="J42" s="42" t="s">
        <v>369</v>
      </c>
      <c r="K42" s="42" t="s">
        <v>369</v>
      </c>
      <c r="L42" s="42" t="s">
        <v>369</v>
      </c>
      <c r="M42" s="42"/>
      <c r="N42" s="42"/>
      <c r="O42" s="42"/>
      <c r="P42" s="42"/>
      <c r="Q42" s="42"/>
      <c r="R42" s="42"/>
      <c r="S42" s="42"/>
      <c r="T42" s="42"/>
      <c r="U42" s="42"/>
      <c r="V42" s="43"/>
      <c r="W42" s="42"/>
      <c r="X42" s="42"/>
      <c r="Y42" s="42"/>
      <c r="Z42" s="42"/>
      <c r="AA42" s="86" t="s">
        <v>442</v>
      </c>
      <c r="AB42" s="86" t="s">
        <v>489</v>
      </c>
      <c r="AC42" s="101"/>
      <c r="AD42" s="10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5" t="s">
        <v>369</v>
      </c>
      <c r="AR42" s="42"/>
      <c r="AS42" s="42"/>
      <c r="AT42" s="42"/>
      <c r="AU42" s="45" t="s">
        <v>369</v>
      </c>
      <c r="AV42" s="45" t="s">
        <v>369</v>
      </c>
      <c r="AW42" s="42"/>
      <c r="AX42" s="46"/>
      <c r="AY42" s="42"/>
      <c r="AZ42" s="42"/>
      <c r="BB42" s="85" t="s">
        <v>369</v>
      </c>
    </row>
    <row r="43" spans="1:54" ht="34.200000000000003" customHeight="1">
      <c r="B43" s="36"/>
      <c r="C43" s="36" t="s">
        <v>898</v>
      </c>
      <c r="D43" s="36" t="s">
        <v>900</v>
      </c>
      <c r="E43" s="42" t="s">
        <v>364</v>
      </c>
      <c r="F43" s="44" t="s">
        <v>365</v>
      </c>
      <c r="G43" s="36">
        <v>4</v>
      </c>
      <c r="H43" s="36" t="s">
        <v>40</v>
      </c>
      <c r="I43" s="36" t="s">
        <v>114</v>
      </c>
      <c r="J43" s="42">
        <v>2</v>
      </c>
      <c r="K43" s="42" t="s">
        <v>551</v>
      </c>
      <c r="L43" s="74" t="s">
        <v>553</v>
      </c>
      <c r="M43" s="42"/>
      <c r="N43" s="42"/>
      <c r="O43" s="42"/>
      <c r="P43" s="42"/>
      <c r="Q43" s="42"/>
      <c r="R43" s="42"/>
      <c r="S43" s="42"/>
      <c r="T43" s="42"/>
      <c r="U43" s="42"/>
      <c r="V43" s="43"/>
      <c r="W43" s="42"/>
      <c r="X43" s="42"/>
      <c r="Y43" s="42"/>
      <c r="Z43" s="42"/>
      <c r="AA43" s="42" t="s">
        <v>210</v>
      </c>
      <c r="AB43" s="42" t="s">
        <v>372</v>
      </c>
      <c r="AC43" s="101"/>
      <c r="AD43" s="102"/>
      <c r="AE43" s="42" t="s">
        <v>550</v>
      </c>
      <c r="AF43" s="42" t="s">
        <v>549</v>
      </c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5" t="s">
        <v>552</v>
      </c>
      <c r="AR43" s="42"/>
      <c r="AS43" s="42"/>
      <c r="AT43" s="42"/>
      <c r="AU43" s="45" t="s">
        <v>465</v>
      </c>
      <c r="AV43" s="45" t="s">
        <v>449</v>
      </c>
      <c r="AW43" s="42"/>
      <c r="AX43" s="46"/>
      <c r="AY43" s="42"/>
      <c r="AZ43" s="42"/>
      <c r="BB43" s="85" t="s">
        <v>480</v>
      </c>
    </row>
    <row r="44" spans="1:54" ht="34.200000000000003" customHeight="1">
      <c r="B44" s="36"/>
      <c r="C44" s="36" t="s">
        <v>898</v>
      </c>
      <c r="D44" s="36" t="s">
        <v>900</v>
      </c>
      <c r="E44" s="42" t="s">
        <v>364</v>
      </c>
      <c r="F44" s="44" t="s">
        <v>365</v>
      </c>
      <c r="G44" s="36">
        <v>4</v>
      </c>
      <c r="H44" s="36" t="s">
        <v>40</v>
      </c>
      <c r="I44" s="36" t="s">
        <v>114</v>
      </c>
      <c r="J44" s="42">
        <v>3</v>
      </c>
      <c r="K44" s="42" t="s">
        <v>554</v>
      </c>
      <c r="L44" s="45" t="s">
        <v>555</v>
      </c>
      <c r="M44" s="42"/>
      <c r="N44" s="42"/>
      <c r="O44" s="42"/>
      <c r="P44" s="42"/>
      <c r="Q44" s="42"/>
      <c r="R44" s="42"/>
      <c r="S44" s="42"/>
      <c r="T44" s="42"/>
      <c r="U44" s="42"/>
      <c r="V44" s="43"/>
      <c r="W44" s="42"/>
      <c r="X44" s="42"/>
      <c r="Y44" s="42"/>
      <c r="Z44" s="42"/>
      <c r="AA44" s="42" t="s">
        <v>373</v>
      </c>
      <c r="AB44" s="42" t="s">
        <v>559</v>
      </c>
      <c r="AC44" s="101"/>
      <c r="AD44" s="10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5" t="s">
        <v>556</v>
      </c>
      <c r="AR44" s="42"/>
      <c r="AS44" s="42"/>
      <c r="AT44" s="42"/>
      <c r="AU44" s="45" t="s">
        <v>465</v>
      </c>
      <c r="AV44" s="45" t="s">
        <v>449</v>
      </c>
      <c r="AW44" s="42"/>
      <c r="AX44" s="46"/>
      <c r="AY44" s="42"/>
      <c r="AZ44" s="42"/>
      <c r="BB44" s="85" t="s">
        <v>480</v>
      </c>
    </row>
    <row r="45" spans="1:54" ht="34.200000000000003" customHeight="1">
      <c r="A45" s="4" t="s">
        <v>444</v>
      </c>
      <c r="B45" s="36"/>
      <c r="C45" s="36" t="s">
        <v>898</v>
      </c>
      <c r="D45" s="36" t="s">
        <v>900</v>
      </c>
      <c r="E45" s="42" t="s">
        <v>364</v>
      </c>
      <c r="F45" s="44" t="s">
        <v>365</v>
      </c>
      <c r="G45" s="36">
        <v>5</v>
      </c>
      <c r="H45" s="36" t="s">
        <v>40</v>
      </c>
      <c r="I45" s="36" t="s">
        <v>114</v>
      </c>
      <c r="J45" s="42" t="s">
        <v>369</v>
      </c>
      <c r="K45" s="42" t="s">
        <v>369</v>
      </c>
      <c r="L45" s="42" t="s">
        <v>369</v>
      </c>
      <c r="M45" s="42"/>
      <c r="N45" s="42"/>
      <c r="O45" s="42"/>
      <c r="P45" s="42"/>
      <c r="Q45" s="42"/>
      <c r="R45" s="42"/>
      <c r="S45" s="42"/>
      <c r="T45" s="42"/>
      <c r="U45" s="42"/>
      <c r="V45" s="43"/>
      <c r="W45" s="42"/>
      <c r="X45" s="42"/>
      <c r="Y45" s="42"/>
      <c r="Z45" s="42"/>
      <c r="AA45" s="86" t="s">
        <v>442</v>
      </c>
      <c r="AB45" s="86" t="s">
        <v>447</v>
      </c>
      <c r="AC45" s="101"/>
      <c r="AD45" s="10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5" t="s">
        <v>369</v>
      </c>
      <c r="AR45" s="42"/>
      <c r="AS45" s="42"/>
      <c r="AT45" s="42"/>
      <c r="AU45" s="45" t="s">
        <v>369</v>
      </c>
      <c r="AV45" s="45" t="s">
        <v>369</v>
      </c>
      <c r="AW45" s="42"/>
      <c r="AX45" s="46"/>
      <c r="AY45" s="42"/>
      <c r="AZ45" s="42"/>
      <c r="BB45" s="85" t="s">
        <v>369</v>
      </c>
    </row>
    <row r="46" spans="1:54" ht="34.200000000000003" customHeight="1">
      <c r="B46" s="36"/>
      <c r="C46" s="36" t="s">
        <v>898</v>
      </c>
      <c r="D46" s="36" t="s">
        <v>900</v>
      </c>
      <c r="E46" s="42" t="s">
        <v>364</v>
      </c>
      <c r="F46" s="42" t="s">
        <v>380</v>
      </c>
      <c r="G46" s="36">
        <v>4</v>
      </c>
      <c r="H46" s="36" t="s">
        <v>40</v>
      </c>
      <c r="I46" s="36" t="s">
        <v>114</v>
      </c>
      <c r="J46" s="42" t="s">
        <v>369</v>
      </c>
      <c r="K46" s="42" t="s">
        <v>369</v>
      </c>
      <c r="L46" s="42" t="s">
        <v>369</v>
      </c>
      <c r="M46" s="44"/>
      <c r="N46" s="44"/>
      <c r="O46" s="44"/>
      <c r="P46" s="42"/>
      <c r="Q46" s="42"/>
      <c r="R46" s="42"/>
      <c r="S46" s="42"/>
      <c r="T46" s="42"/>
      <c r="U46" s="42"/>
      <c r="V46" s="43"/>
      <c r="W46" s="42"/>
      <c r="X46" s="42"/>
      <c r="Y46" s="42"/>
      <c r="Z46" s="42"/>
      <c r="AA46" s="42" t="s">
        <v>374</v>
      </c>
      <c r="AB46" s="42" t="s">
        <v>557</v>
      </c>
      <c r="AC46" s="101"/>
      <c r="AD46" s="10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5" t="s">
        <v>369</v>
      </c>
      <c r="AR46" s="42"/>
      <c r="AS46" s="42"/>
      <c r="AT46" s="42"/>
      <c r="AU46" s="45" t="s">
        <v>369</v>
      </c>
      <c r="AV46" s="45" t="s">
        <v>369</v>
      </c>
      <c r="AW46" s="42"/>
      <c r="AX46" s="46"/>
      <c r="AY46" s="42"/>
      <c r="AZ46" s="42"/>
      <c r="BB46" s="85" t="s">
        <v>369</v>
      </c>
    </row>
    <row r="47" spans="1:54" ht="34.200000000000003" customHeight="1">
      <c r="B47" s="36"/>
      <c r="C47" s="36" t="s">
        <v>898</v>
      </c>
      <c r="D47" s="36" t="s">
        <v>900</v>
      </c>
      <c r="E47" s="42" t="s">
        <v>364</v>
      </c>
      <c r="F47" s="42" t="s">
        <v>380</v>
      </c>
      <c r="G47" s="36">
        <v>4</v>
      </c>
      <c r="H47" s="36" t="s">
        <v>40</v>
      </c>
      <c r="I47" s="36" t="s">
        <v>114</v>
      </c>
      <c r="J47" s="42" t="s">
        <v>369</v>
      </c>
      <c r="K47" s="42" t="s">
        <v>369</v>
      </c>
      <c r="L47" s="42" t="s">
        <v>369</v>
      </c>
      <c r="M47" s="44"/>
      <c r="N47" s="44"/>
      <c r="O47" s="44"/>
      <c r="P47" s="42"/>
      <c r="Q47" s="42"/>
      <c r="R47" s="42"/>
      <c r="S47" s="42"/>
      <c r="T47" s="42"/>
      <c r="U47" s="42"/>
      <c r="V47" s="43"/>
      <c r="W47" s="42"/>
      <c r="X47" s="42"/>
      <c r="Y47" s="42"/>
      <c r="Z47" s="42"/>
      <c r="AA47" s="42" t="s">
        <v>375</v>
      </c>
      <c r="AB47" s="42" t="s">
        <v>558</v>
      </c>
      <c r="AC47" s="101"/>
      <c r="AD47" s="101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5" t="s">
        <v>369</v>
      </c>
      <c r="AR47" s="42"/>
      <c r="AS47" s="42"/>
      <c r="AT47" s="42"/>
      <c r="AU47" s="45" t="s">
        <v>369</v>
      </c>
      <c r="AV47" s="45" t="s">
        <v>369</v>
      </c>
      <c r="AW47" s="42"/>
      <c r="AX47" s="46"/>
      <c r="AY47" s="42"/>
      <c r="AZ47" s="42"/>
      <c r="BB47" s="85" t="s">
        <v>369</v>
      </c>
    </row>
    <row r="48" spans="1:54" ht="34.200000000000003" customHeight="1">
      <c r="B48" s="36"/>
      <c r="C48" s="36" t="s">
        <v>898</v>
      </c>
      <c r="D48" s="36" t="s">
        <v>900</v>
      </c>
      <c r="E48" s="42" t="s">
        <v>364</v>
      </c>
      <c r="F48" s="42" t="s">
        <v>380</v>
      </c>
      <c r="G48" s="36">
        <v>4</v>
      </c>
      <c r="H48" s="36" t="s">
        <v>40</v>
      </c>
      <c r="I48" s="36" t="s">
        <v>114</v>
      </c>
      <c r="J48" s="42">
        <v>4</v>
      </c>
      <c r="K48" s="42" t="s">
        <v>567</v>
      </c>
      <c r="L48" s="43" t="s">
        <v>568</v>
      </c>
      <c r="M48" s="44"/>
      <c r="N48" s="44"/>
      <c r="O48" s="44"/>
      <c r="P48" s="42"/>
      <c r="Q48" s="42"/>
      <c r="R48" s="42"/>
      <c r="S48" s="42"/>
      <c r="T48" s="42"/>
      <c r="U48" s="42"/>
      <c r="V48" s="43"/>
      <c r="W48" s="42"/>
      <c r="X48" s="42"/>
      <c r="Y48" s="42"/>
      <c r="Z48" s="42"/>
      <c r="AA48" s="42" t="s">
        <v>561</v>
      </c>
      <c r="AB48" s="42" t="s">
        <v>560</v>
      </c>
      <c r="AC48" s="101"/>
      <c r="AD48" s="101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5" t="s">
        <v>569</v>
      </c>
      <c r="AR48" s="42"/>
      <c r="AS48" s="42"/>
      <c r="AT48" s="42"/>
      <c r="AU48" s="45" t="s">
        <v>465</v>
      </c>
      <c r="AV48" s="45" t="s">
        <v>449</v>
      </c>
      <c r="AW48" s="42"/>
      <c r="AX48" s="46"/>
      <c r="AY48" s="42"/>
      <c r="AZ48" s="42"/>
      <c r="BB48" s="85" t="s">
        <v>480</v>
      </c>
    </row>
    <row r="49" spans="1:54" ht="34.200000000000003" customHeight="1">
      <c r="B49" s="36"/>
      <c r="C49" s="36" t="s">
        <v>898</v>
      </c>
      <c r="D49" s="36" t="s">
        <v>900</v>
      </c>
      <c r="E49" s="42" t="s">
        <v>364</v>
      </c>
      <c r="F49" s="42" t="s">
        <v>380</v>
      </c>
      <c r="G49" s="36">
        <v>4</v>
      </c>
      <c r="H49" s="36" t="s">
        <v>40</v>
      </c>
      <c r="I49" s="36" t="s">
        <v>114</v>
      </c>
      <c r="J49" s="42">
        <v>5</v>
      </c>
      <c r="K49" s="69" t="s">
        <v>572</v>
      </c>
      <c r="L49" s="69" t="s">
        <v>573</v>
      </c>
      <c r="M49" s="44"/>
      <c r="N49" s="44"/>
      <c r="O49" s="44"/>
      <c r="P49" s="42"/>
      <c r="Q49" s="42"/>
      <c r="R49" s="42"/>
      <c r="S49" s="42"/>
      <c r="T49" s="42"/>
      <c r="U49" s="42"/>
      <c r="V49" s="43"/>
      <c r="W49" s="42"/>
      <c r="X49" s="42"/>
      <c r="Y49" s="42"/>
      <c r="Z49" s="42"/>
      <c r="AA49" s="42" t="s">
        <v>376</v>
      </c>
      <c r="AB49" s="42" t="s">
        <v>576</v>
      </c>
      <c r="AC49" s="101"/>
      <c r="AD49" s="102"/>
      <c r="AE49" s="42" t="s">
        <v>570</v>
      </c>
      <c r="AF49" s="42" t="s">
        <v>571</v>
      </c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5" t="s">
        <v>574</v>
      </c>
      <c r="AR49" s="42"/>
      <c r="AS49" s="42"/>
      <c r="AT49" s="42"/>
      <c r="AU49" s="45" t="s">
        <v>465</v>
      </c>
      <c r="AV49" s="45" t="s">
        <v>449</v>
      </c>
      <c r="AW49" s="42"/>
      <c r="AX49" s="46"/>
      <c r="AY49" s="42"/>
      <c r="AZ49" s="42"/>
      <c r="BB49" s="85" t="s">
        <v>575</v>
      </c>
    </row>
    <row r="50" spans="1:54" ht="34.200000000000003" customHeight="1">
      <c r="B50" s="36"/>
      <c r="C50" s="36" t="s">
        <v>898</v>
      </c>
      <c r="D50" s="36" t="s">
        <v>900</v>
      </c>
      <c r="E50" s="42" t="s">
        <v>364</v>
      </c>
      <c r="F50" s="42" t="s">
        <v>380</v>
      </c>
      <c r="G50" s="36">
        <v>4</v>
      </c>
      <c r="H50" s="36" t="s">
        <v>40</v>
      </c>
      <c r="I50" s="36" t="s">
        <v>114</v>
      </c>
      <c r="J50" s="42" t="s">
        <v>369</v>
      </c>
      <c r="K50" s="42" t="s">
        <v>369</v>
      </c>
      <c r="L50" s="42" t="s">
        <v>369</v>
      </c>
      <c r="M50" s="42"/>
      <c r="N50" s="42"/>
      <c r="O50" s="42"/>
      <c r="P50" s="42"/>
      <c r="Q50" s="42"/>
      <c r="R50" s="42"/>
      <c r="S50" s="42"/>
      <c r="T50" s="42"/>
      <c r="U50" s="42"/>
      <c r="V50" s="43"/>
      <c r="W50" s="42"/>
      <c r="X50" s="42"/>
      <c r="Y50" s="42"/>
      <c r="Z50" s="42"/>
      <c r="AA50" s="42" t="s">
        <v>377</v>
      </c>
      <c r="AB50" s="42" t="s">
        <v>577</v>
      </c>
      <c r="AC50" s="101"/>
      <c r="AD50" s="10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5" t="s">
        <v>369</v>
      </c>
      <c r="AR50" s="42"/>
      <c r="AS50" s="42"/>
      <c r="AT50" s="42"/>
      <c r="AU50" s="45" t="s">
        <v>369</v>
      </c>
      <c r="AV50" s="45" t="s">
        <v>369</v>
      </c>
      <c r="AW50" s="42"/>
      <c r="AX50" s="46"/>
      <c r="AY50" s="42"/>
      <c r="AZ50" s="42"/>
      <c r="BB50" s="85" t="s">
        <v>369</v>
      </c>
    </row>
    <row r="51" spans="1:54" ht="34.200000000000003" customHeight="1">
      <c r="B51" s="36"/>
      <c r="C51" s="36" t="s">
        <v>898</v>
      </c>
      <c r="D51" s="36" t="s">
        <v>900</v>
      </c>
      <c r="E51" s="42" t="s">
        <v>364</v>
      </c>
      <c r="F51" s="42" t="s">
        <v>380</v>
      </c>
      <c r="G51" s="36">
        <v>4</v>
      </c>
      <c r="H51" s="36" t="s">
        <v>40</v>
      </c>
      <c r="I51" s="36" t="s">
        <v>114</v>
      </c>
      <c r="J51" s="42">
        <v>6</v>
      </c>
      <c r="K51" s="42" t="s">
        <v>378</v>
      </c>
      <c r="L51" s="43" t="s">
        <v>580</v>
      </c>
      <c r="M51" s="42"/>
      <c r="N51" s="42"/>
      <c r="O51" s="42"/>
      <c r="P51" s="42"/>
      <c r="Q51" s="42"/>
      <c r="R51" s="42"/>
      <c r="S51" s="42"/>
      <c r="T51" s="42"/>
      <c r="U51" s="42"/>
      <c r="V51" s="43"/>
      <c r="W51" s="42"/>
      <c r="X51" s="42"/>
      <c r="Y51" s="42"/>
      <c r="Z51" s="42"/>
      <c r="AA51" s="42" t="s">
        <v>379</v>
      </c>
      <c r="AB51" s="42" t="s">
        <v>578</v>
      </c>
      <c r="AC51" s="101"/>
      <c r="AD51" s="10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3" t="s">
        <v>579</v>
      </c>
      <c r="AR51" s="42"/>
      <c r="AS51" s="42"/>
      <c r="AT51" s="42"/>
      <c r="AU51" s="45" t="s">
        <v>465</v>
      </c>
      <c r="AV51" s="45" t="s">
        <v>449</v>
      </c>
      <c r="AW51" s="42"/>
      <c r="AX51" s="46"/>
      <c r="AY51" s="42"/>
      <c r="AZ51" s="42"/>
      <c r="BB51" s="85" t="s">
        <v>480</v>
      </c>
    </row>
    <row r="52" spans="1:54" ht="34.200000000000003" customHeight="1">
      <c r="A52" s="4" t="s">
        <v>444</v>
      </c>
      <c r="B52" s="36"/>
      <c r="C52" s="36" t="s">
        <v>898</v>
      </c>
      <c r="D52" s="36" t="s">
        <v>900</v>
      </c>
      <c r="E52" s="42" t="s">
        <v>364</v>
      </c>
      <c r="F52" s="42" t="s">
        <v>380</v>
      </c>
      <c r="G52" s="36">
        <v>5</v>
      </c>
      <c r="H52" s="36" t="s">
        <v>40</v>
      </c>
      <c r="I52" s="36" t="s">
        <v>114</v>
      </c>
      <c r="J52" s="42" t="s">
        <v>369</v>
      </c>
      <c r="K52" s="42" t="s">
        <v>369</v>
      </c>
      <c r="L52" s="42" t="s">
        <v>369</v>
      </c>
      <c r="M52" s="42"/>
      <c r="N52" s="42"/>
      <c r="O52" s="42"/>
      <c r="P52" s="42"/>
      <c r="Q52" s="42"/>
      <c r="R52" s="42"/>
      <c r="S52" s="42"/>
      <c r="T52" s="42"/>
      <c r="U52" s="42"/>
      <c r="V52" s="43"/>
      <c r="W52" s="42"/>
      <c r="X52" s="42"/>
      <c r="Y52" s="42"/>
      <c r="Z52" s="42"/>
      <c r="AA52" s="86" t="s">
        <v>442</v>
      </c>
      <c r="AB52" s="86" t="s">
        <v>445</v>
      </c>
      <c r="AC52" s="101"/>
      <c r="AD52" s="10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5" t="s">
        <v>369</v>
      </c>
      <c r="AR52" s="42"/>
      <c r="AS52" s="42"/>
      <c r="AT52" s="42"/>
      <c r="AU52" s="45" t="s">
        <v>369</v>
      </c>
      <c r="AV52" s="45" t="s">
        <v>369</v>
      </c>
      <c r="AW52" s="42"/>
      <c r="AX52" s="46"/>
      <c r="AY52" s="42"/>
      <c r="AZ52" s="42"/>
      <c r="BB52" s="85" t="s">
        <v>369</v>
      </c>
    </row>
    <row r="53" spans="1:54" ht="34.200000000000003" customHeight="1">
      <c r="B53" s="36"/>
      <c r="C53" s="36" t="s">
        <v>898</v>
      </c>
      <c r="D53" s="36" t="s">
        <v>900</v>
      </c>
      <c r="E53" s="42" t="s">
        <v>364</v>
      </c>
      <c r="F53" s="42" t="s">
        <v>149</v>
      </c>
      <c r="G53" s="36">
        <v>4</v>
      </c>
      <c r="H53" s="36" t="s">
        <v>40</v>
      </c>
      <c r="I53" s="36" t="s">
        <v>114</v>
      </c>
      <c r="J53" s="42" t="s">
        <v>369</v>
      </c>
      <c r="K53" s="42" t="s">
        <v>369</v>
      </c>
      <c r="L53" s="42" t="s">
        <v>369</v>
      </c>
      <c r="M53" s="44"/>
      <c r="N53" s="44"/>
      <c r="O53" s="44"/>
      <c r="P53" s="42"/>
      <c r="Q53" s="42"/>
      <c r="R53" s="42"/>
      <c r="S53" s="42"/>
      <c r="T53" s="42"/>
      <c r="U53" s="42"/>
      <c r="V53" s="43"/>
      <c r="W53" s="42"/>
      <c r="X53" s="42"/>
      <c r="Y53" s="42"/>
      <c r="Z53" s="42"/>
      <c r="AA53" s="42" t="s">
        <v>381</v>
      </c>
      <c r="AB53" s="42" t="s">
        <v>581</v>
      </c>
      <c r="AC53" s="101"/>
      <c r="AD53" s="10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5" t="s">
        <v>369</v>
      </c>
      <c r="AR53" s="42"/>
      <c r="AS53" s="42"/>
      <c r="AT53" s="42"/>
      <c r="AU53" s="45" t="s">
        <v>369</v>
      </c>
      <c r="AV53" s="45" t="s">
        <v>369</v>
      </c>
      <c r="AW53" s="42"/>
      <c r="AX53" s="46"/>
      <c r="AY53" s="42"/>
      <c r="AZ53" s="42"/>
      <c r="BB53" s="85" t="s">
        <v>369</v>
      </c>
    </row>
    <row r="54" spans="1:54" ht="34.200000000000003" customHeight="1">
      <c r="B54" s="36"/>
      <c r="C54" s="36" t="s">
        <v>898</v>
      </c>
      <c r="D54" s="36" t="s">
        <v>900</v>
      </c>
      <c r="E54" s="42" t="s">
        <v>364</v>
      </c>
      <c r="F54" s="42" t="s">
        <v>149</v>
      </c>
      <c r="G54" s="36">
        <v>4</v>
      </c>
      <c r="H54" s="36" t="s">
        <v>40</v>
      </c>
      <c r="I54" s="36" t="s">
        <v>114</v>
      </c>
      <c r="J54" s="42">
        <v>7</v>
      </c>
      <c r="K54" s="45" t="s">
        <v>584</v>
      </c>
      <c r="L54" s="45" t="s">
        <v>585</v>
      </c>
      <c r="M54" s="42"/>
      <c r="N54" s="42"/>
      <c r="O54" s="42"/>
      <c r="P54" s="42"/>
      <c r="Q54" s="42"/>
      <c r="R54" s="42"/>
      <c r="S54" s="42"/>
      <c r="T54" s="42"/>
      <c r="U54" s="42"/>
      <c r="V54" s="43"/>
      <c r="W54" s="42"/>
      <c r="X54" s="42"/>
      <c r="Y54" s="42"/>
      <c r="Z54" s="42"/>
      <c r="AA54" s="42" t="s">
        <v>582</v>
      </c>
      <c r="AB54" s="42" t="s">
        <v>583</v>
      </c>
      <c r="AC54" s="101"/>
      <c r="AD54" s="10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3" t="s">
        <v>586</v>
      </c>
      <c r="AR54" s="42"/>
      <c r="AS54" s="42"/>
      <c r="AT54" s="42"/>
      <c r="AU54" s="45" t="s">
        <v>465</v>
      </c>
      <c r="AV54" s="45" t="s">
        <v>449</v>
      </c>
      <c r="AW54" s="42"/>
      <c r="AX54" s="46"/>
      <c r="AY54" s="42"/>
      <c r="AZ54" s="42"/>
      <c r="BB54" s="85" t="s">
        <v>480</v>
      </c>
    </row>
    <row r="55" spans="1:54" ht="34.200000000000003" customHeight="1">
      <c r="B55" s="36"/>
      <c r="C55" s="36"/>
      <c r="D55" s="36"/>
      <c r="E55" s="42"/>
      <c r="F55" s="44"/>
      <c r="G55" s="36"/>
      <c r="H55" s="36"/>
      <c r="I55" s="36"/>
      <c r="J55" s="42"/>
      <c r="K55" s="42"/>
      <c r="L55" s="43"/>
      <c r="M55" s="42"/>
      <c r="N55" s="42"/>
      <c r="O55" s="42"/>
      <c r="P55" s="42"/>
      <c r="Q55" s="42"/>
      <c r="R55" s="42"/>
      <c r="S55" s="42"/>
      <c r="T55" s="42"/>
      <c r="U55" s="42"/>
      <c r="V55" s="43"/>
      <c r="W55" s="42"/>
      <c r="X55" s="42"/>
      <c r="Y55" s="42"/>
      <c r="Z55" s="42"/>
      <c r="AA55" s="42"/>
      <c r="AB55" s="42"/>
      <c r="AC55" s="101"/>
      <c r="AD55" s="10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3"/>
      <c r="AR55" s="42"/>
      <c r="AS55" s="42"/>
      <c r="AT55" s="42"/>
      <c r="AU55" s="43"/>
      <c r="AV55" s="43"/>
      <c r="AW55" s="42"/>
      <c r="AX55" s="46"/>
      <c r="AY55" s="42"/>
      <c r="AZ55" s="42"/>
      <c r="BB55" s="81"/>
    </row>
    <row r="56" spans="1:54" ht="34.200000000000003" customHeight="1">
      <c r="B56" s="36"/>
      <c r="C56" s="36"/>
      <c r="D56" s="36"/>
      <c r="E56" s="42"/>
      <c r="F56" s="44"/>
      <c r="G56" s="36"/>
      <c r="H56" s="36"/>
      <c r="I56" s="36"/>
      <c r="J56" s="42"/>
      <c r="K56" s="42"/>
      <c r="L56" s="43"/>
      <c r="M56" s="42"/>
      <c r="N56" s="42"/>
      <c r="O56" s="42"/>
      <c r="P56" s="42"/>
      <c r="Q56" s="42"/>
      <c r="R56" s="42"/>
      <c r="S56" s="42"/>
      <c r="T56" s="42"/>
      <c r="U56" s="42"/>
      <c r="V56" s="43"/>
      <c r="W56" s="42"/>
      <c r="X56" s="42"/>
      <c r="Y56" s="42"/>
      <c r="Z56" s="42"/>
      <c r="AA56" s="42"/>
      <c r="AB56" s="42"/>
      <c r="AC56" s="101"/>
      <c r="AD56" s="10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3"/>
      <c r="AR56" s="42"/>
      <c r="AS56" s="42"/>
      <c r="AT56" s="42"/>
      <c r="AU56" s="43"/>
      <c r="AV56" s="43"/>
      <c r="AW56" s="42"/>
      <c r="AX56" s="46"/>
      <c r="AY56" s="42"/>
      <c r="AZ56" s="42"/>
      <c r="BB56" s="81"/>
    </row>
    <row r="57" spans="1:54" ht="34.200000000000003" customHeight="1">
      <c r="B57" s="36"/>
      <c r="C57" s="36"/>
      <c r="D57" s="36"/>
      <c r="E57" s="42"/>
      <c r="F57" s="44"/>
      <c r="G57" s="36"/>
      <c r="H57" s="36"/>
      <c r="I57" s="36"/>
      <c r="J57" s="42"/>
      <c r="K57" s="42"/>
      <c r="L57" s="43"/>
      <c r="M57" s="42"/>
      <c r="N57" s="42"/>
      <c r="O57" s="42"/>
      <c r="P57" s="42"/>
      <c r="Q57" s="42"/>
      <c r="R57" s="42"/>
      <c r="S57" s="42"/>
      <c r="T57" s="42"/>
      <c r="U57" s="42"/>
      <c r="V57" s="43"/>
      <c r="W57" s="42"/>
      <c r="X57" s="42"/>
      <c r="Y57" s="42"/>
      <c r="Z57" s="42"/>
      <c r="AA57" s="42"/>
      <c r="AB57" s="42"/>
      <c r="AC57" s="101"/>
      <c r="AD57" s="10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3"/>
      <c r="AR57" s="42"/>
      <c r="AS57" s="42"/>
      <c r="AT57" s="42"/>
      <c r="AU57" s="43"/>
      <c r="AV57" s="43"/>
      <c r="AW57" s="42"/>
      <c r="AX57" s="46"/>
      <c r="AY57" s="42"/>
      <c r="AZ57" s="42"/>
      <c r="BB57" s="81"/>
    </row>
    <row r="58" spans="1:54" ht="34.200000000000003" customHeight="1">
      <c r="B58" s="36"/>
      <c r="C58" s="36"/>
      <c r="D58" s="36"/>
      <c r="E58" s="42"/>
      <c r="F58" s="44"/>
      <c r="G58" s="36"/>
      <c r="H58" s="36"/>
      <c r="I58" s="36"/>
      <c r="J58" s="42"/>
      <c r="K58" s="42"/>
      <c r="L58" s="43"/>
      <c r="M58" s="42"/>
      <c r="N58" s="42"/>
      <c r="O58" s="42"/>
      <c r="P58" s="42"/>
      <c r="Q58" s="42"/>
      <c r="R58" s="42"/>
      <c r="S58" s="42"/>
      <c r="T58" s="42"/>
      <c r="U58" s="42"/>
      <c r="V58" s="43"/>
      <c r="W58" s="42"/>
      <c r="X58" s="42"/>
      <c r="Y58" s="42"/>
      <c r="Z58" s="42"/>
      <c r="AA58" s="42"/>
      <c r="AB58" s="42"/>
      <c r="AC58" s="101"/>
      <c r="AD58" s="10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3"/>
      <c r="AR58" s="42"/>
      <c r="AS58" s="42"/>
      <c r="AT58" s="42"/>
      <c r="AU58" s="43"/>
      <c r="AV58" s="43"/>
      <c r="AW58" s="42"/>
      <c r="AX58" s="46"/>
      <c r="AY58" s="42"/>
      <c r="AZ58" s="42"/>
      <c r="BB58" s="81"/>
    </row>
    <row r="59" spans="1:54" ht="34.200000000000003" customHeight="1">
      <c r="B59" s="36"/>
      <c r="C59" s="36"/>
      <c r="D59" s="36"/>
      <c r="E59" s="42"/>
      <c r="F59" s="44"/>
      <c r="G59" s="36"/>
      <c r="H59" s="36"/>
      <c r="I59" s="36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101"/>
      <c r="AD59" s="101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6"/>
      <c r="AY59" s="42"/>
      <c r="AZ59" s="42"/>
      <c r="BB59" s="81"/>
    </row>
    <row r="60" spans="1:54" ht="34.200000000000003" customHeight="1">
      <c r="B60" s="36"/>
      <c r="C60" s="36"/>
      <c r="D60" s="36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101"/>
      <c r="AD60" s="101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6"/>
      <c r="AY60" s="42"/>
      <c r="AZ60" s="42"/>
      <c r="BB60" s="81"/>
    </row>
    <row r="61" spans="1:54" ht="34.200000000000003" customHeight="1">
      <c r="B61" s="36"/>
      <c r="C61" s="36"/>
      <c r="D61" s="36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101"/>
      <c r="AD61" s="101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6"/>
      <c r="AY61" s="42"/>
      <c r="AZ61" s="42"/>
      <c r="BB61" s="81"/>
    </row>
    <row r="62" spans="1:54" ht="34.200000000000003" customHeight="1">
      <c r="B62" s="36"/>
      <c r="C62" s="36"/>
      <c r="D62" s="36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101"/>
      <c r="AD62" s="101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6"/>
      <c r="AY62" s="42"/>
      <c r="AZ62" s="42"/>
      <c r="BB62" s="81"/>
    </row>
    <row r="63" spans="1:54" ht="34.200000000000003" customHeight="1">
      <c r="B63" s="36"/>
      <c r="C63" s="36"/>
      <c r="D63" s="36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101"/>
      <c r="AD63" s="101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6"/>
      <c r="AY63" s="42"/>
      <c r="AZ63" s="42"/>
      <c r="BB63" s="81"/>
    </row>
    <row r="64" spans="1:54" ht="34.200000000000003" customHeight="1">
      <c r="B64" s="36"/>
      <c r="C64" s="36"/>
      <c r="D64" s="36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101"/>
      <c r="AD64" s="101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6"/>
      <c r="AY64" s="42"/>
      <c r="AZ64" s="42"/>
      <c r="BB64" s="81"/>
    </row>
    <row r="65" spans="2:54" ht="34.200000000000003" customHeight="1">
      <c r="B65" s="36"/>
      <c r="C65" s="36"/>
      <c r="D65" s="36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101"/>
      <c r="AD65" s="101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6"/>
      <c r="AY65" s="42"/>
      <c r="AZ65" s="42"/>
      <c r="BB65" s="81"/>
    </row>
    <row r="66" spans="2:54" ht="34.200000000000003" customHeight="1">
      <c r="B66" s="36"/>
      <c r="C66" s="36"/>
      <c r="D66" s="36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101"/>
      <c r="AD66" s="101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6"/>
      <c r="AY66" s="42"/>
      <c r="AZ66" s="42"/>
      <c r="BB66" s="81"/>
    </row>
    <row r="67" spans="2:54" ht="34.200000000000003" customHeight="1">
      <c r="B67" s="36"/>
      <c r="C67" s="36"/>
      <c r="D67" s="36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101"/>
      <c r="AD67" s="101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6"/>
      <c r="AY67" s="42"/>
      <c r="AZ67" s="42"/>
      <c r="BB67" s="81"/>
    </row>
    <row r="68" spans="2:54" ht="34.200000000000003" customHeight="1">
      <c r="B68" s="36"/>
      <c r="C68" s="36"/>
      <c r="D68" s="36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101"/>
      <c r="AD68" s="101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6"/>
      <c r="AY68" s="42"/>
      <c r="AZ68" s="42"/>
      <c r="BB68" s="81"/>
    </row>
    <row r="69" spans="2:54" ht="34.200000000000003" customHeight="1">
      <c r="B69" s="36"/>
      <c r="C69" s="36"/>
      <c r="D69" s="36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101"/>
      <c r="AD69" s="101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6"/>
      <c r="AY69" s="42"/>
      <c r="AZ69" s="42"/>
      <c r="BB69" s="81"/>
    </row>
    <row r="70" spans="2:54" ht="34.200000000000003" customHeight="1">
      <c r="B70" s="36"/>
      <c r="C70" s="36"/>
      <c r="D70" s="36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101"/>
      <c r="AD70" s="101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6"/>
      <c r="AY70" s="42"/>
      <c r="AZ70" s="42"/>
      <c r="BB70" s="81"/>
    </row>
    <row r="71" spans="2:54" ht="34.200000000000003" customHeight="1">
      <c r="B71" s="36"/>
      <c r="C71" s="36"/>
      <c r="D71" s="36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101"/>
      <c r="AD71" s="101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6"/>
      <c r="AY71" s="42"/>
      <c r="AZ71" s="42"/>
      <c r="BB71" s="81"/>
    </row>
    <row r="72" spans="2:54" ht="34.200000000000003" customHeight="1">
      <c r="B72" s="36"/>
      <c r="C72" s="36"/>
      <c r="D72" s="36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101"/>
      <c r="AD72" s="101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6"/>
      <c r="AY72" s="42"/>
      <c r="AZ72" s="42"/>
      <c r="BB72" s="81"/>
    </row>
    <row r="73" spans="2:54" ht="34.200000000000003" customHeight="1">
      <c r="B73" s="36"/>
      <c r="C73" s="36"/>
      <c r="D73" s="36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101"/>
      <c r="AD73" s="101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6"/>
      <c r="AY73" s="42"/>
      <c r="AZ73" s="42"/>
      <c r="BB73" s="81"/>
    </row>
    <row r="74" spans="2:54" ht="34.200000000000003" customHeight="1">
      <c r="B74" s="36"/>
      <c r="C74" s="36"/>
      <c r="D74" s="36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101"/>
      <c r="AD74" s="101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6"/>
      <c r="AY74" s="42"/>
      <c r="AZ74" s="42"/>
      <c r="BB74" s="81"/>
    </row>
    <row r="75" spans="2:54" ht="34.200000000000003" customHeight="1">
      <c r="B75" s="36"/>
      <c r="C75" s="36"/>
      <c r="D75" s="36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101"/>
      <c r="AD75" s="101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6"/>
      <c r="AY75" s="42"/>
      <c r="AZ75" s="42"/>
      <c r="BB75" s="81"/>
    </row>
    <row r="76" spans="2:54" ht="34.200000000000003" customHeight="1">
      <c r="B76" s="36"/>
      <c r="C76" s="36"/>
      <c r="D76" s="36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101"/>
      <c r="AD76" s="101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6"/>
      <c r="AY76" s="42"/>
      <c r="AZ76" s="42"/>
      <c r="BB76" s="81"/>
    </row>
    <row r="77" spans="2:54" ht="34.200000000000003" customHeight="1">
      <c r="B77" s="36"/>
      <c r="C77" s="36"/>
      <c r="D77" s="36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101"/>
      <c r="AD77" s="101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6"/>
      <c r="AY77" s="42"/>
      <c r="AZ77" s="42"/>
      <c r="BB77" s="81"/>
    </row>
    <row r="78" spans="2:54" ht="34.200000000000003" customHeight="1">
      <c r="B78" s="36"/>
      <c r="C78" s="36"/>
      <c r="D78" s="36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101"/>
      <c r="AD78" s="101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6"/>
      <c r="AY78" s="42"/>
      <c r="AZ78" s="42"/>
      <c r="BB78" s="81"/>
    </row>
    <row r="79" spans="2:54" ht="34.200000000000003" customHeight="1">
      <c r="B79" s="36"/>
      <c r="C79" s="36"/>
      <c r="D79" s="36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101"/>
      <c r="AD79" s="101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6"/>
      <c r="AY79" s="42"/>
      <c r="AZ79" s="42"/>
      <c r="BB79" s="81"/>
    </row>
    <row r="80" spans="2:54" ht="34.200000000000003" customHeight="1">
      <c r="B80" s="36"/>
      <c r="C80" s="36"/>
      <c r="D80" s="36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101"/>
      <c r="AD80" s="101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6"/>
      <c r="AY80" s="42"/>
      <c r="AZ80" s="42"/>
      <c r="BB80" s="81"/>
    </row>
    <row r="81" spans="2:54" ht="34.200000000000003" customHeight="1">
      <c r="B81" s="36"/>
      <c r="C81" s="36"/>
      <c r="D81" s="36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101"/>
      <c r="AD81" s="101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6"/>
      <c r="AY81" s="42"/>
      <c r="AZ81" s="42"/>
      <c r="BB81" s="81"/>
    </row>
    <row r="82" spans="2:54" ht="34.200000000000003" customHeight="1">
      <c r="B82" s="36"/>
      <c r="C82" s="36"/>
      <c r="D82" s="36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101"/>
      <c r="AD82" s="101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6"/>
      <c r="AY82" s="42"/>
      <c r="AZ82" s="42"/>
      <c r="BB82" s="81"/>
    </row>
    <row r="83" spans="2:54" ht="34.200000000000003" customHeight="1">
      <c r="B83" s="36"/>
      <c r="C83" s="36"/>
      <c r="D83" s="36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101"/>
      <c r="AD83" s="101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6"/>
      <c r="AY83" s="42"/>
      <c r="AZ83" s="42"/>
      <c r="BB83" s="81"/>
    </row>
    <row r="84" spans="2:54" ht="34.200000000000003" customHeight="1">
      <c r="B84" s="36"/>
      <c r="C84" s="36"/>
      <c r="D84" s="36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101"/>
      <c r="AD84" s="101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6"/>
      <c r="AY84" s="42"/>
      <c r="AZ84" s="42"/>
      <c r="BB84" s="81"/>
    </row>
    <row r="85" spans="2:54" ht="34.200000000000003" customHeight="1">
      <c r="B85" s="36"/>
      <c r="C85" s="36"/>
      <c r="D85" s="36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101"/>
      <c r="AD85" s="101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6"/>
      <c r="AY85" s="42"/>
      <c r="AZ85" s="42"/>
      <c r="BB85" s="81"/>
    </row>
    <row r="86" spans="2:54" ht="34.200000000000003" customHeight="1">
      <c r="B86" s="36"/>
      <c r="C86" s="36"/>
      <c r="D86" s="36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101"/>
      <c r="AD86" s="101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6"/>
      <c r="AY86" s="42"/>
      <c r="AZ86" s="42"/>
      <c r="BB86" s="81"/>
    </row>
    <row r="87" spans="2:54" ht="34.200000000000003" customHeight="1">
      <c r="B87" s="36"/>
      <c r="C87" s="36"/>
      <c r="D87" s="36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101"/>
      <c r="AD87" s="101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6"/>
      <c r="AY87" s="42"/>
      <c r="AZ87" s="42"/>
      <c r="BB87" s="81"/>
    </row>
    <row r="88" spans="2:54" ht="34.200000000000003" customHeight="1">
      <c r="B88" s="36"/>
      <c r="C88" s="36"/>
      <c r="D88" s="36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101"/>
      <c r="AD88" s="101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6"/>
      <c r="AY88" s="42"/>
      <c r="AZ88" s="42"/>
      <c r="BB88" s="81"/>
    </row>
    <row r="89" spans="2:54" ht="34.200000000000003" customHeight="1">
      <c r="B89" s="36"/>
      <c r="C89" s="36"/>
      <c r="D89" s="36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101"/>
      <c r="AD89" s="101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6"/>
      <c r="AY89" s="42"/>
      <c r="AZ89" s="42"/>
      <c r="BB89" s="81"/>
    </row>
    <row r="90" spans="2:54" ht="34.200000000000003" customHeight="1">
      <c r="B90" s="36"/>
      <c r="C90" s="36"/>
      <c r="D90" s="36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101"/>
      <c r="AD90" s="101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6"/>
      <c r="AY90" s="42"/>
      <c r="AZ90" s="42"/>
      <c r="BB90" s="81"/>
    </row>
    <row r="91" spans="2:54" ht="34.200000000000003" customHeight="1">
      <c r="B91" s="36"/>
      <c r="C91" s="36"/>
      <c r="D91" s="36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101"/>
      <c r="AD91" s="101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6"/>
      <c r="AY91" s="42"/>
      <c r="AZ91" s="42"/>
      <c r="BB91" s="81"/>
    </row>
    <row r="92" spans="2:54" ht="34.200000000000003" customHeight="1">
      <c r="B92" s="36"/>
      <c r="C92" s="36"/>
      <c r="D92" s="36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101"/>
      <c r="AD92" s="101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6"/>
      <c r="AY92" s="42"/>
      <c r="AZ92" s="42"/>
      <c r="BB92" s="81"/>
    </row>
    <row r="93" spans="2:54" ht="34.200000000000003" customHeight="1">
      <c r="B93" s="36"/>
      <c r="C93" s="36"/>
      <c r="D93" s="36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101"/>
      <c r="AD93" s="101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6"/>
      <c r="AY93" s="42"/>
      <c r="AZ93" s="42"/>
      <c r="BB93" s="81"/>
    </row>
    <row r="94" spans="2:54" ht="34.200000000000003" customHeight="1">
      <c r="B94" s="36"/>
      <c r="C94" s="36"/>
      <c r="D94" s="36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101"/>
      <c r="AD94" s="101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6"/>
      <c r="AY94" s="42"/>
      <c r="AZ94" s="42"/>
      <c r="BB94" s="81"/>
    </row>
    <row r="95" spans="2:54" ht="34.200000000000003" customHeight="1">
      <c r="B95" s="36"/>
      <c r="C95" s="36"/>
      <c r="D95" s="36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101"/>
      <c r="AD95" s="101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6"/>
      <c r="AY95" s="42"/>
      <c r="AZ95" s="42"/>
      <c r="BB95" s="81"/>
    </row>
    <row r="96" spans="2:54" ht="34.200000000000003" customHeight="1">
      <c r="B96" s="36"/>
      <c r="C96" s="36"/>
      <c r="D96" s="36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101"/>
      <c r="AD96" s="101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6"/>
      <c r="AY96" s="42"/>
      <c r="AZ96" s="42"/>
      <c r="BB96" s="81"/>
    </row>
    <row r="97" spans="2:54" ht="34.200000000000003" customHeight="1">
      <c r="B97" s="36"/>
      <c r="C97" s="36"/>
      <c r="D97" s="36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101"/>
      <c r="AD97" s="101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6"/>
      <c r="AY97" s="42"/>
      <c r="AZ97" s="42"/>
      <c r="BB97" s="81"/>
    </row>
    <row r="98" spans="2:54" ht="34.200000000000003" customHeight="1">
      <c r="B98" s="36"/>
      <c r="C98" s="36"/>
      <c r="D98" s="36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101"/>
      <c r="AD98" s="101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6"/>
      <c r="AY98" s="42"/>
      <c r="AZ98" s="42"/>
      <c r="BB98" s="81"/>
    </row>
    <row r="99" spans="2:54" ht="34.200000000000003" customHeight="1">
      <c r="B99" s="36"/>
      <c r="C99" s="36"/>
      <c r="D99" s="36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101"/>
      <c r="AD99" s="101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6"/>
      <c r="AY99" s="42"/>
      <c r="AZ99" s="42"/>
      <c r="BB99" s="81"/>
    </row>
    <row r="100" spans="2:54" ht="34.200000000000003" customHeight="1">
      <c r="B100" s="36"/>
      <c r="C100" s="36"/>
      <c r="D100" s="36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101"/>
      <c r="AD100" s="101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6"/>
      <c r="AY100" s="42"/>
      <c r="AZ100" s="42"/>
      <c r="BB100" s="81"/>
    </row>
    <row r="101" spans="2:54" ht="34.200000000000003" customHeight="1">
      <c r="B101" s="36"/>
      <c r="C101" s="36"/>
      <c r="D101" s="36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101"/>
      <c r="AD101" s="101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6"/>
      <c r="AY101" s="42"/>
      <c r="AZ101" s="42"/>
      <c r="BB101" s="81"/>
    </row>
    <row r="102" spans="2:54" ht="34.200000000000003" customHeight="1">
      <c r="B102" s="36"/>
      <c r="C102" s="36"/>
      <c r="D102" s="36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101"/>
      <c r="AD102" s="101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6"/>
      <c r="AY102" s="42"/>
      <c r="AZ102" s="42"/>
      <c r="BB102" s="81"/>
    </row>
    <row r="103" spans="2:54" ht="34.200000000000003" customHeight="1">
      <c r="B103" s="36"/>
      <c r="C103" s="36"/>
      <c r="D103" s="36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101"/>
      <c r="AD103" s="101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6"/>
      <c r="AY103" s="42"/>
      <c r="AZ103" s="42"/>
      <c r="BB103" s="81"/>
    </row>
    <row r="104" spans="2:54" ht="34.200000000000003" customHeight="1">
      <c r="B104" s="36"/>
      <c r="C104" s="36"/>
      <c r="D104" s="36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101"/>
      <c r="AD104" s="101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6"/>
      <c r="AY104" s="42"/>
      <c r="AZ104" s="42"/>
      <c r="BB104" s="81"/>
    </row>
    <row r="105" spans="2:54" ht="34.200000000000003" customHeight="1">
      <c r="B105" s="36"/>
      <c r="C105" s="36"/>
      <c r="D105" s="36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101"/>
      <c r="AD105" s="101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6"/>
      <c r="AY105" s="42"/>
      <c r="AZ105" s="42"/>
      <c r="BB105" s="81"/>
    </row>
    <row r="106" spans="2:54" ht="34.200000000000003" customHeight="1">
      <c r="B106" s="36"/>
      <c r="C106" s="36"/>
      <c r="D106" s="36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101"/>
      <c r="AD106" s="101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6"/>
      <c r="AY106" s="42"/>
      <c r="AZ106" s="42"/>
      <c r="BB106" s="81"/>
    </row>
    <row r="107" spans="2:54" ht="34.200000000000003" customHeight="1">
      <c r="B107" s="36"/>
      <c r="C107" s="36"/>
      <c r="D107" s="36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101"/>
      <c r="AD107" s="101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6"/>
      <c r="AY107" s="42"/>
      <c r="AZ107" s="42"/>
      <c r="BB107" s="81"/>
    </row>
    <row r="108" spans="2:54" ht="34.200000000000003" customHeight="1">
      <c r="B108" s="36"/>
      <c r="C108" s="36"/>
      <c r="D108" s="36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101"/>
      <c r="AD108" s="101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6"/>
      <c r="AY108" s="42"/>
      <c r="AZ108" s="42"/>
      <c r="BB108" s="81"/>
    </row>
    <row r="109" spans="2:54" ht="34.200000000000003" customHeight="1">
      <c r="B109" s="36"/>
      <c r="C109" s="36"/>
      <c r="D109" s="36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101"/>
      <c r="AD109" s="101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6"/>
      <c r="AY109" s="42"/>
      <c r="AZ109" s="42"/>
      <c r="BB109" s="81"/>
    </row>
    <row r="110" spans="2:54" ht="34.200000000000003" customHeight="1">
      <c r="B110" s="36"/>
      <c r="C110" s="36"/>
      <c r="D110" s="36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101"/>
      <c r="AD110" s="101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6"/>
      <c r="AY110" s="42"/>
      <c r="AZ110" s="42"/>
      <c r="BB110" s="81"/>
    </row>
    <row r="111" spans="2:54" ht="34.200000000000003" customHeight="1">
      <c r="B111" s="36"/>
      <c r="C111" s="36"/>
      <c r="D111" s="36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101"/>
      <c r="AD111" s="101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6"/>
      <c r="AY111" s="42"/>
      <c r="AZ111" s="42"/>
      <c r="BB111" s="81"/>
    </row>
    <row r="112" spans="2:54" ht="34.200000000000003" customHeight="1">
      <c r="B112" s="36"/>
      <c r="C112" s="36"/>
      <c r="D112" s="36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101"/>
      <c r="AD112" s="101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6"/>
      <c r="AY112" s="42"/>
      <c r="AZ112" s="42"/>
      <c r="BB112" s="81"/>
    </row>
    <row r="113" spans="2:54" ht="34.200000000000003" customHeight="1">
      <c r="B113" s="36"/>
      <c r="C113" s="36"/>
      <c r="D113" s="36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101"/>
      <c r="AD113" s="101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6"/>
      <c r="AY113" s="42"/>
      <c r="AZ113" s="42"/>
      <c r="BB113" s="81"/>
    </row>
    <row r="114" spans="2:54" ht="34.200000000000003" customHeight="1">
      <c r="B114" s="36"/>
      <c r="C114" s="36"/>
      <c r="D114" s="36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101"/>
      <c r="AD114" s="101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6"/>
      <c r="AY114" s="42"/>
      <c r="AZ114" s="42"/>
      <c r="BB114" s="81"/>
    </row>
    <row r="115" spans="2:54" ht="34.200000000000003" customHeight="1">
      <c r="B115" s="36"/>
      <c r="C115" s="36"/>
      <c r="D115" s="36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101"/>
      <c r="AD115" s="101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6"/>
      <c r="AY115" s="42"/>
      <c r="AZ115" s="42"/>
      <c r="BB115" s="81"/>
    </row>
    <row r="116" spans="2:54" ht="34.200000000000003" customHeight="1">
      <c r="B116" s="36"/>
      <c r="C116" s="36"/>
      <c r="D116" s="36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101"/>
      <c r="AD116" s="101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6"/>
      <c r="AY116" s="42"/>
      <c r="AZ116" s="42"/>
      <c r="BB116" s="81"/>
    </row>
    <row r="117" spans="2:54" ht="34.200000000000003" customHeight="1">
      <c r="B117" s="36"/>
      <c r="C117" s="36"/>
      <c r="D117" s="36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101"/>
      <c r="AD117" s="101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6"/>
      <c r="AY117" s="42"/>
      <c r="AZ117" s="42"/>
      <c r="BB117" s="81"/>
    </row>
    <row r="118" spans="2:54" ht="34.200000000000003" customHeight="1">
      <c r="B118" s="36"/>
      <c r="C118" s="36"/>
      <c r="D118" s="36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101"/>
      <c r="AD118" s="101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6"/>
      <c r="AY118" s="42"/>
      <c r="AZ118" s="42"/>
      <c r="BB118" s="81"/>
    </row>
    <row r="119" spans="2:54" ht="34.200000000000003" customHeight="1">
      <c r="B119" s="36"/>
      <c r="C119" s="36"/>
      <c r="D119" s="36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101"/>
      <c r="AD119" s="101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6"/>
      <c r="AY119" s="42"/>
      <c r="AZ119" s="42"/>
      <c r="BB119" s="81"/>
    </row>
    <row r="120" spans="2:54" ht="34.200000000000003" customHeight="1">
      <c r="B120" s="36"/>
      <c r="C120" s="36"/>
      <c r="D120" s="36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101"/>
      <c r="AD120" s="101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6"/>
      <c r="AY120" s="42"/>
      <c r="AZ120" s="42"/>
      <c r="BB120" s="81"/>
    </row>
    <row r="121" spans="2:54" ht="34.200000000000003" customHeight="1">
      <c r="B121" s="36"/>
      <c r="C121" s="36"/>
      <c r="D121" s="36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101"/>
      <c r="AD121" s="101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6"/>
      <c r="AY121" s="42"/>
      <c r="AZ121" s="42"/>
      <c r="BB121" s="81"/>
    </row>
    <row r="122" spans="2:54" ht="34.200000000000003" customHeight="1">
      <c r="B122" s="36"/>
      <c r="C122" s="36"/>
      <c r="D122" s="36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101"/>
      <c r="AD122" s="101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6"/>
      <c r="AY122" s="42"/>
      <c r="AZ122" s="42"/>
      <c r="BB122" s="81"/>
    </row>
    <row r="123" spans="2:54" ht="34.200000000000003" customHeight="1">
      <c r="B123" s="36"/>
      <c r="C123" s="36"/>
      <c r="D123" s="36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101"/>
      <c r="AD123" s="101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6"/>
      <c r="AY123" s="42"/>
      <c r="AZ123" s="42"/>
      <c r="BB123" s="81"/>
    </row>
    <row r="124" spans="2:54" ht="34.200000000000003" customHeight="1">
      <c r="B124" s="36"/>
      <c r="C124" s="36"/>
      <c r="D124" s="36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101"/>
      <c r="AD124" s="101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6"/>
      <c r="AY124" s="42"/>
      <c r="AZ124" s="42"/>
      <c r="BB124" s="81"/>
    </row>
    <row r="125" spans="2:54" ht="34.200000000000003" customHeight="1">
      <c r="B125" s="36"/>
      <c r="C125" s="36"/>
      <c r="D125" s="36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101"/>
      <c r="AD125" s="101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6"/>
      <c r="AY125" s="42"/>
      <c r="AZ125" s="42"/>
      <c r="BB125" s="81"/>
    </row>
    <row r="126" spans="2:54" ht="34.200000000000003" customHeight="1">
      <c r="B126" s="36"/>
      <c r="C126" s="36"/>
      <c r="D126" s="36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101"/>
      <c r="AD126" s="101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6"/>
      <c r="AY126" s="42"/>
      <c r="AZ126" s="42"/>
      <c r="BB126" s="81"/>
    </row>
    <row r="127" spans="2:54" ht="34.200000000000003" customHeight="1">
      <c r="B127" s="36"/>
      <c r="C127" s="36"/>
      <c r="D127" s="36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101"/>
      <c r="AD127" s="101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6"/>
      <c r="AY127" s="42"/>
      <c r="AZ127" s="42"/>
      <c r="BB127" s="81"/>
    </row>
    <row r="128" spans="2:54" ht="34.200000000000003" customHeight="1">
      <c r="B128" s="36"/>
      <c r="C128" s="36"/>
      <c r="D128" s="36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101"/>
      <c r="AD128" s="101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6"/>
      <c r="AY128" s="42"/>
      <c r="AZ128" s="42"/>
      <c r="BB128" s="81"/>
    </row>
    <row r="129" spans="2:54" ht="34.200000000000003" customHeight="1">
      <c r="B129" s="36"/>
      <c r="C129" s="36"/>
      <c r="D129" s="36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101"/>
      <c r="AD129" s="101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6"/>
      <c r="AY129" s="42"/>
      <c r="AZ129" s="42"/>
      <c r="BB129" s="81"/>
    </row>
    <row r="130" spans="2:54" ht="34.200000000000003" customHeight="1">
      <c r="B130" s="36"/>
      <c r="C130" s="36"/>
      <c r="D130" s="36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101"/>
      <c r="AD130" s="101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6"/>
      <c r="AY130" s="42"/>
      <c r="AZ130" s="42"/>
      <c r="BB130" s="81"/>
    </row>
    <row r="131" spans="2:54" ht="34.200000000000003" customHeight="1">
      <c r="B131" s="36"/>
      <c r="C131" s="36"/>
      <c r="D131" s="36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101"/>
      <c r="AD131" s="101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6"/>
      <c r="AY131" s="42"/>
      <c r="AZ131" s="42"/>
      <c r="BB131" s="81"/>
    </row>
    <row r="132" spans="2:54">
      <c r="B132" s="36"/>
      <c r="C132" s="36"/>
      <c r="D132" s="36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101"/>
      <c r="AD132" s="101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6"/>
      <c r="AY132" s="42"/>
      <c r="AZ132" s="42"/>
      <c r="BB132" s="81"/>
    </row>
    <row r="133" spans="2:54">
      <c r="B133" s="36"/>
      <c r="C133" s="36"/>
      <c r="D133" s="36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101"/>
      <c r="AD133" s="101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6"/>
      <c r="AY133" s="42"/>
      <c r="AZ133" s="42"/>
      <c r="BB133" s="81"/>
    </row>
    <row r="134" spans="2:54">
      <c r="B134" s="36"/>
      <c r="C134" s="36"/>
      <c r="D134" s="36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101"/>
      <c r="AD134" s="101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6"/>
      <c r="AY134" s="42"/>
      <c r="AZ134" s="42"/>
      <c r="BB134" s="81"/>
    </row>
    <row r="135" spans="2:54">
      <c r="B135" s="36"/>
      <c r="C135" s="36"/>
      <c r="D135" s="36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101"/>
      <c r="AD135" s="101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6"/>
      <c r="AY135" s="42"/>
      <c r="AZ135" s="42"/>
      <c r="BB135" s="81"/>
    </row>
    <row r="136" spans="2:54">
      <c r="B136" s="36"/>
      <c r="C136" s="36"/>
      <c r="D136" s="36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101"/>
      <c r="AD136" s="101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6"/>
      <c r="AY136" s="42"/>
      <c r="AZ136" s="42"/>
      <c r="BB136" s="81"/>
    </row>
    <row r="137" spans="2:54">
      <c r="B137" s="36"/>
      <c r="C137" s="36"/>
      <c r="D137" s="36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101"/>
      <c r="AD137" s="101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6"/>
      <c r="AY137" s="42"/>
      <c r="AZ137" s="42"/>
      <c r="BB137" s="81"/>
    </row>
    <row r="138" spans="2:54">
      <c r="B138" s="36"/>
      <c r="C138" s="36"/>
      <c r="D138" s="36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101"/>
      <c r="AD138" s="101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6"/>
      <c r="AY138" s="42"/>
      <c r="AZ138" s="42"/>
      <c r="BB138" s="81"/>
    </row>
    <row r="139" spans="2:54">
      <c r="B139" s="36"/>
      <c r="C139" s="36"/>
      <c r="D139" s="36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101"/>
      <c r="AD139" s="101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6"/>
      <c r="AY139" s="42"/>
      <c r="AZ139" s="42"/>
      <c r="BB139" s="81"/>
    </row>
    <row r="140" spans="2:54">
      <c r="B140" s="36"/>
      <c r="C140" s="36"/>
      <c r="D140" s="36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101"/>
      <c r="AD140" s="101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6"/>
      <c r="AY140" s="42"/>
      <c r="AZ140" s="42"/>
      <c r="BB140" s="81"/>
    </row>
    <row r="141" spans="2:54">
      <c r="B141" s="36"/>
      <c r="C141" s="36"/>
      <c r="D141" s="36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101"/>
      <c r="AD141" s="101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6"/>
      <c r="AY141" s="42"/>
      <c r="AZ141" s="42"/>
      <c r="BB141" s="81"/>
    </row>
    <row r="142" spans="2:54">
      <c r="B142" s="36"/>
      <c r="C142" s="36"/>
      <c r="D142" s="36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101"/>
      <c r="AD142" s="101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6"/>
      <c r="AY142" s="42"/>
      <c r="AZ142" s="42"/>
      <c r="BB142" s="81"/>
    </row>
    <row r="143" spans="2:54">
      <c r="B143" s="36"/>
      <c r="C143" s="36"/>
      <c r="D143" s="36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101"/>
      <c r="AD143" s="101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6"/>
      <c r="AY143" s="42"/>
      <c r="AZ143" s="42"/>
      <c r="BB143" s="81"/>
    </row>
    <row r="144" spans="2:54">
      <c r="B144" s="36"/>
      <c r="C144" s="36"/>
      <c r="D144" s="36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101"/>
      <c r="AD144" s="101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6"/>
      <c r="AY144" s="42"/>
      <c r="AZ144" s="42"/>
      <c r="BB144" s="81"/>
    </row>
    <row r="145" spans="2:54">
      <c r="B145" s="36"/>
      <c r="C145" s="36"/>
      <c r="D145" s="36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101"/>
      <c r="AD145" s="101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6"/>
      <c r="AY145" s="42"/>
      <c r="AZ145" s="42"/>
      <c r="BB145" s="81"/>
    </row>
    <row r="146" spans="2:54">
      <c r="B146" s="36"/>
      <c r="C146" s="36"/>
      <c r="D146" s="36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101"/>
      <c r="AD146" s="101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6"/>
      <c r="AY146" s="42"/>
      <c r="AZ146" s="42"/>
      <c r="BB146" s="81"/>
    </row>
    <row r="147" spans="2:54">
      <c r="B147" s="36"/>
      <c r="C147" s="36"/>
      <c r="D147" s="36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101"/>
      <c r="AD147" s="101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6"/>
      <c r="AY147" s="42"/>
      <c r="AZ147" s="42"/>
      <c r="BB147" s="81"/>
    </row>
    <row r="148" spans="2:54">
      <c r="B148" s="36"/>
      <c r="C148" s="36"/>
      <c r="D148" s="36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101"/>
      <c r="AD148" s="101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6"/>
      <c r="AY148" s="42"/>
      <c r="AZ148" s="42"/>
      <c r="BB148" s="81"/>
    </row>
    <row r="149" spans="2:54">
      <c r="B149" s="36"/>
      <c r="C149" s="36"/>
      <c r="D149" s="36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101"/>
      <c r="AD149" s="101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6"/>
      <c r="AY149" s="42"/>
      <c r="AZ149" s="42"/>
      <c r="BB149" s="81"/>
    </row>
    <row r="150" spans="2:54">
      <c r="B150" s="36"/>
      <c r="C150" s="36"/>
      <c r="D150" s="36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101"/>
      <c r="AD150" s="101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6"/>
      <c r="AY150" s="42"/>
      <c r="AZ150" s="42"/>
      <c r="BB150" s="81"/>
    </row>
    <row r="151" spans="2:54">
      <c r="B151" s="36"/>
      <c r="C151" s="36"/>
      <c r="D151" s="36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101"/>
      <c r="AD151" s="101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6"/>
      <c r="AY151" s="42"/>
      <c r="AZ151" s="42"/>
      <c r="BB151" s="81"/>
    </row>
    <row r="152" spans="2:54">
      <c r="B152" s="36"/>
      <c r="C152" s="36"/>
      <c r="D152" s="36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101"/>
      <c r="AD152" s="101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6"/>
      <c r="AY152" s="42"/>
      <c r="AZ152" s="42"/>
      <c r="BB152" s="81"/>
    </row>
    <row r="153" spans="2:54">
      <c r="B153" s="36"/>
      <c r="C153" s="36"/>
      <c r="D153" s="36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101"/>
      <c r="AD153" s="101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6"/>
      <c r="AY153" s="42"/>
      <c r="AZ153" s="42"/>
      <c r="BB153" s="81"/>
    </row>
    <row r="154" spans="2:54">
      <c r="B154" s="36"/>
      <c r="C154" s="36"/>
      <c r="D154" s="36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101"/>
      <c r="AD154" s="101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6"/>
      <c r="AY154" s="42"/>
      <c r="AZ154" s="42"/>
      <c r="BB154" s="81"/>
    </row>
    <row r="155" spans="2:54">
      <c r="B155" s="36"/>
      <c r="C155" s="36"/>
      <c r="D155" s="36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101"/>
      <c r="AD155" s="101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6"/>
      <c r="AY155" s="42"/>
      <c r="AZ155" s="42"/>
      <c r="BB155" s="81"/>
    </row>
    <row r="156" spans="2:54">
      <c r="B156" s="36"/>
      <c r="C156" s="36"/>
      <c r="D156" s="36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101"/>
      <c r="AD156" s="101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6"/>
      <c r="AY156" s="42"/>
      <c r="AZ156" s="42"/>
      <c r="BB156" s="81"/>
    </row>
    <row r="157" spans="2:54">
      <c r="B157" s="36"/>
      <c r="C157" s="36"/>
      <c r="D157" s="36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101"/>
      <c r="AD157" s="101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6"/>
      <c r="AY157" s="42"/>
      <c r="AZ157" s="42"/>
      <c r="BB157" s="81"/>
    </row>
    <row r="158" spans="2:54">
      <c r="B158" s="36"/>
      <c r="C158" s="36"/>
      <c r="D158" s="36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101"/>
      <c r="AD158" s="101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6"/>
      <c r="AY158" s="42"/>
      <c r="AZ158" s="42"/>
      <c r="BB158" s="81"/>
    </row>
    <row r="159" spans="2:54">
      <c r="B159" s="36"/>
      <c r="C159" s="36"/>
      <c r="D159" s="36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101"/>
      <c r="AD159" s="101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6"/>
      <c r="AY159" s="42"/>
      <c r="AZ159" s="42"/>
      <c r="BB159" s="81"/>
    </row>
    <row r="160" spans="2:54">
      <c r="B160" s="36"/>
      <c r="C160" s="36"/>
      <c r="D160" s="36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101"/>
      <c r="AD160" s="101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6"/>
      <c r="AY160" s="42"/>
      <c r="AZ160" s="42"/>
      <c r="BB160" s="81"/>
    </row>
    <row r="161" spans="2:54">
      <c r="B161" s="36"/>
      <c r="C161" s="36"/>
      <c r="D161" s="36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101"/>
      <c r="AD161" s="101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6"/>
      <c r="AY161" s="42"/>
      <c r="AZ161" s="42"/>
      <c r="BB161" s="81"/>
    </row>
    <row r="162" spans="2:54">
      <c r="B162" s="36"/>
      <c r="C162" s="36"/>
      <c r="D162" s="36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101"/>
      <c r="AD162" s="101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6"/>
      <c r="AY162" s="42"/>
      <c r="AZ162" s="42"/>
    </row>
    <row r="163" spans="2:54">
      <c r="B163" s="36"/>
      <c r="C163" s="36"/>
      <c r="D163" s="36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101"/>
      <c r="AD163" s="101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6"/>
      <c r="AY163" s="42"/>
      <c r="AZ163" s="42"/>
    </row>
    <row r="164" spans="2:54">
      <c r="B164" s="36"/>
      <c r="C164" s="36"/>
      <c r="D164" s="36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101"/>
      <c r="AD164" s="101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6"/>
      <c r="AY164" s="42"/>
      <c r="AZ164" s="42"/>
    </row>
    <row r="165" spans="2:54">
      <c r="B165" s="36"/>
      <c r="C165" s="36"/>
      <c r="D165" s="36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101"/>
      <c r="AD165" s="101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6"/>
      <c r="AY165" s="42"/>
      <c r="AZ165" s="42"/>
    </row>
    <row r="166" spans="2:54">
      <c r="B166" s="36"/>
      <c r="C166" s="36"/>
      <c r="D166" s="36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101"/>
      <c r="AD166" s="101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6"/>
      <c r="AY166" s="42"/>
      <c r="AZ166" s="42"/>
    </row>
    <row r="167" spans="2:54">
      <c r="B167" s="36"/>
      <c r="C167" s="36"/>
      <c r="D167" s="36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101"/>
      <c r="AD167" s="101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6"/>
      <c r="AY167" s="42"/>
      <c r="AZ167" s="42"/>
    </row>
    <row r="168" spans="2:54">
      <c r="B168" s="36"/>
      <c r="C168" s="36"/>
      <c r="D168" s="36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101"/>
      <c r="AD168" s="101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6"/>
      <c r="AY168" s="42"/>
      <c r="AZ168" s="42"/>
    </row>
    <row r="169" spans="2:54">
      <c r="B169" s="36"/>
      <c r="C169" s="36"/>
      <c r="D169" s="36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101"/>
      <c r="AD169" s="101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6"/>
      <c r="AY169" s="42"/>
      <c r="AZ169" s="42"/>
    </row>
    <row r="170" spans="2:54">
      <c r="B170" s="36"/>
      <c r="C170" s="36"/>
      <c r="D170" s="36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101"/>
      <c r="AD170" s="101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6"/>
      <c r="AY170" s="42"/>
      <c r="AZ170" s="42"/>
    </row>
    <row r="171" spans="2:54">
      <c r="B171" s="36"/>
      <c r="C171" s="36"/>
      <c r="D171" s="36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101"/>
      <c r="AD171" s="101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6"/>
      <c r="AY171" s="42"/>
      <c r="AZ171" s="42"/>
    </row>
    <row r="172" spans="2:54">
      <c r="B172" s="36"/>
      <c r="C172" s="36"/>
      <c r="D172" s="36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101"/>
      <c r="AD172" s="101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6"/>
      <c r="AY172" s="42"/>
      <c r="AZ172" s="42"/>
    </row>
    <row r="173" spans="2:54">
      <c r="B173" s="36"/>
      <c r="C173" s="36"/>
      <c r="D173" s="36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101"/>
      <c r="AD173" s="101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6"/>
      <c r="AY173" s="42"/>
      <c r="AZ173" s="42"/>
    </row>
    <row r="174" spans="2:54">
      <c r="B174" s="36"/>
      <c r="C174" s="36"/>
      <c r="D174" s="36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101"/>
      <c r="AD174" s="101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6"/>
      <c r="AY174" s="42"/>
      <c r="AZ174" s="42"/>
    </row>
    <row r="175" spans="2:54">
      <c r="B175" s="36"/>
      <c r="C175" s="36"/>
      <c r="D175" s="36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101"/>
      <c r="AD175" s="101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6"/>
      <c r="AY175" s="42"/>
      <c r="AZ175" s="42"/>
    </row>
    <row r="176" spans="2:54">
      <c r="B176" s="36"/>
      <c r="C176" s="36"/>
      <c r="D176" s="36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101"/>
      <c r="AD176" s="101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6"/>
      <c r="AY176" s="42"/>
      <c r="AZ176" s="42"/>
    </row>
    <row r="177" spans="2:52">
      <c r="B177" s="36"/>
      <c r="C177" s="36"/>
      <c r="D177" s="36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101"/>
      <c r="AD177" s="101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6"/>
      <c r="AY177" s="42"/>
      <c r="AZ177" s="42"/>
    </row>
    <row r="178" spans="2:52">
      <c r="B178" s="36"/>
      <c r="C178" s="36"/>
      <c r="D178" s="36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101"/>
      <c r="AD178" s="101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6"/>
      <c r="AY178" s="42"/>
      <c r="AZ178" s="42"/>
    </row>
    <row r="179" spans="2:52">
      <c r="B179" s="36"/>
      <c r="C179" s="36"/>
      <c r="D179" s="36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101"/>
      <c r="AD179" s="101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6"/>
      <c r="AY179" s="42"/>
      <c r="AZ179" s="42"/>
    </row>
    <row r="180" spans="2:52">
      <c r="B180" s="36"/>
      <c r="C180" s="36"/>
      <c r="D180" s="36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101"/>
      <c r="AD180" s="101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6"/>
      <c r="AY180" s="42"/>
      <c r="AZ180" s="42"/>
    </row>
    <row r="181" spans="2:52">
      <c r="B181" s="36"/>
      <c r="C181" s="36"/>
      <c r="D181" s="36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101"/>
      <c r="AD181" s="101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6"/>
      <c r="AY181" s="42"/>
      <c r="AZ181" s="42"/>
    </row>
    <row r="182" spans="2:52">
      <c r="B182" s="36"/>
      <c r="C182" s="36"/>
      <c r="D182" s="36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101"/>
      <c r="AD182" s="101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6"/>
      <c r="AY182" s="42"/>
      <c r="AZ182" s="42"/>
    </row>
    <row r="183" spans="2:52">
      <c r="B183" s="36"/>
      <c r="C183" s="36"/>
      <c r="D183" s="36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101"/>
      <c r="AD183" s="101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6"/>
      <c r="AY183" s="42"/>
      <c r="AZ183" s="42"/>
    </row>
    <row r="184" spans="2:52">
      <c r="B184" s="36"/>
      <c r="C184" s="36"/>
      <c r="D184" s="36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101"/>
      <c r="AD184" s="101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6"/>
      <c r="AY184" s="42"/>
      <c r="AZ184" s="42"/>
    </row>
    <row r="185" spans="2:52">
      <c r="B185" s="36"/>
      <c r="C185" s="36"/>
      <c r="D185" s="36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101"/>
      <c r="AD185" s="101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6"/>
      <c r="AY185" s="42"/>
      <c r="AZ185" s="42"/>
    </row>
    <row r="186" spans="2:52">
      <c r="B186" s="36"/>
      <c r="C186" s="36"/>
      <c r="D186" s="36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101"/>
      <c r="AD186" s="101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6"/>
      <c r="AY186" s="42"/>
      <c r="AZ186" s="42"/>
    </row>
    <row r="187" spans="2:52">
      <c r="B187" s="36"/>
      <c r="C187" s="36"/>
      <c r="D187" s="36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101"/>
      <c r="AD187" s="101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6"/>
      <c r="AY187" s="42"/>
      <c r="AZ187" s="42"/>
    </row>
    <row r="188" spans="2:52">
      <c r="B188" s="36"/>
      <c r="C188" s="36"/>
      <c r="D188" s="36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101"/>
      <c r="AD188" s="101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6"/>
      <c r="AY188" s="42"/>
      <c r="AZ188" s="42"/>
    </row>
    <row r="189" spans="2:52">
      <c r="B189" s="36"/>
      <c r="C189" s="36"/>
      <c r="D189" s="36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101"/>
      <c r="AD189" s="101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6"/>
      <c r="AY189" s="42"/>
      <c r="AZ189" s="42"/>
    </row>
    <row r="190" spans="2:52">
      <c r="B190" s="36"/>
      <c r="C190" s="36"/>
      <c r="D190" s="36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101"/>
      <c r="AD190" s="101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6"/>
      <c r="AY190" s="42"/>
      <c r="AZ190" s="42"/>
    </row>
    <row r="191" spans="2:52">
      <c r="B191" s="36"/>
      <c r="C191" s="36"/>
      <c r="D191" s="36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101"/>
      <c r="AD191" s="101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6"/>
      <c r="AY191" s="42"/>
      <c r="AZ191" s="42"/>
    </row>
    <row r="192" spans="2:52">
      <c r="B192" s="36"/>
      <c r="C192" s="36"/>
      <c r="D192" s="36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101"/>
      <c r="AD192" s="101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6"/>
      <c r="AY192" s="42"/>
      <c r="AZ192" s="42"/>
    </row>
    <row r="193" spans="2:52">
      <c r="B193" s="36"/>
      <c r="C193" s="36"/>
      <c r="D193" s="36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101"/>
      <c r="AD193" s="101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6"/>
      <c r="AY193" s="42"/>
      <c r="AZ193" s="42"/>
    </row>
    <row r="194" spans="2:52">
      <c r="B194" s="36"/>
      <c r="C194" s="36"/>
      <c r="D194" s="36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101"/>
      <c r="AD194" s="101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6"/>
      <c r="AY194" s="42"/>
      <c r="AZ194" s="42"/>
    </row>
    <row r="195" spans="2:52">
      <c r="B195" s="36"/>
      <c r="C195" s="36"/>
      <c r="D195" s="36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101"/>
      <c r="AD195" s="101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6"/>
      <c r="AY195" s="42"/>
      <c r="AZ195" s="42"/>
    </row>
    <row r="196" spans="2:52">
      <c r="B196" s="36"/>
      <c r="C196" s="36"/>
      <c r="D196" s="36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101"/>
      <c r="AD196" s="101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6"/>
      <c r="AY196" s="42"/>
      <c r="AZ196" s="42"/>
    </row>
    <row r="197" spans="2:52">
      <c r="B197" s="36"/>
      <c r="C197" s="36"/>
      <c r="D197" s="36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101"/>
      <c r="AD197" s="101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6"/>
      <c r="AY197" s="42"/>
      <c r="AZ197" s="42"/>
    </row>
    <row r="198" spans="2:52">
      <c r="B198" s="36"/>
      <c r="C198" s="36"/>
      <c r="D198" s="36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101"/>
      <c r="AD198" s="101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6"/>
      <c r="AY198" s="42"/>
      <c r="AZ198" s="42"/>
    </row>
    <row r="199" spans="2:52">
      <c r="B199" s="36"/>
      <c r="C199" s="36"/>
      <c r="D199" s="36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101"/>
      <c r="AD199" s="101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6"/>
      <c r="AY199" s="42"/>
      <c r="AZ199" s="42"/>
    </row>
    <row r="200" spans="2:52">
      <c r="B200" s="36"/>
      <c r="C200" s="36"/>
      <c r="D200" s="36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101"/>
      <c r="AD200" s="101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6"/>
      <c r="AY200" s="42"/>
      <c r="AZ200" s="42"/>
    </row>
    <row r="201" spans="2:52">
      <c r="B201" s="36"/>
      <c r="C201" s="36"/>
      <c r="D201" s="36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101"/>
      <c r="AD201" s="101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6"/>
      <c r="AY201" s="42"/>
      <c r="AZ201" s="42"/>
    </row>
    <row r="202" spans="2:52">
      <c r="B202" s="36"/>
      <c r="C202" s="36"/>
      <c r="D202" s="36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101"/>
      <c r="AD202" s="101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6"/>
      <c r="AY202" s="42"/>
      <c r="AZ202" s="42"/>
    </row>
    <row r="203" spans="2:52">
      <c r="B203" s="36"/>
      <c r="C203" s="36"/>
      <c r="D203" s="36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101"/>
      <c r="AD203" s="101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6"/>
      <c r="AY203" s="42"/>
      <c r="AZ203" s="42"/>
    </row>
    <row r="204" spans="2:52">
      <c r="B204" s="36"/>
      <c r="C204" s="36"/>
      <c r="D204" s="36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101"/>
      <c r="AD204" s="101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6"/>
      <c r="AY204" s="42"/>
      <c r="AZ204" s="42"/>
    </row>
    <row r="205" spans="2:52">
      <c r="B205" s="36"/>
      <c r="C205" s="36"/>
      <c r="D205" s="36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101"/>
      <c r="AD205" s="101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6"/>
      <c r="AY205" s="42"/>
      <c r="AZ205" s="42"/>
    </row>
    <row r="206" spans="2:52">
      <c r="B206" s="36"/>
      <c r="C206" s="36"/>
      <c r="D206" s="36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101"/>
      <c r="AD206" s="101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6"/>
      <c r="AY206" s="42"/>
      <c r="AZ206" s="42"/>
    </row>
    <row r="207" spans="2:52">
      <c r="B207" s="36"/>
      <c r="C207" s="36"/>
      <c r="D207" s="36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101"/>
      <c r="AD207" s="101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6"/>
      <c r="AY207" s="42"/>
      <c r="AZ207" s="42"/>
    </row>
    <row r="208" spans="2:52">
      <c r="B208" s="36"/>
      <c r="C208" s="36"/>
      <c r="D208" s="36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101"/>
      <c r="AD208" s="101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6"/>
      <c r="AY208" s="42"/>
      <c r="AZ208" s="42"/>
    </row>
    <row r="209" spans="2:52">
      <c r="B209" s="36"/>
      <c r="C209" s="36"/>
      <c r="D209" s="36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101"/>
      <c r="AD209" s="101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6"/>
      <c r="AY209" s="42"/>
      <c r="AZ209" s="42"/>
    </row>
    <row r="210" spans="2:52">
      <c r="B210" s="36"/>
      <c r="C210" s="36"/>
      <c r="D210" s="36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101"/>
      <c r="AD210" s="101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6"/>
      <c r="AY210" s="42"/>
      <c r="AZ210" s="42"/>
    </row>
    <row r="211" spans="2:52">
      <c r="B211" s="36"/>
      <c r="C211" s="36"/>
      <c r="D211" s="36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101"/>
      <c r="AD211" s="101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6"/>
      <c r="AY211" s="42"/>
      <c r="AZ211" s="42"/>
    </row>
    <row r="212" spans="2:52">
      <c r="B212" s="36"/>
      <c r="C212" s="36"/>
      <c r="D212" s="36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101"/>
      <c r="AD212" s="101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6"/>
      <c r="AY212" s="42"/>
      <c r="AZ212" s="42"/>
    </row>
    <row r="213" spans="2:52">
      <c r="B213" s="36"/>
      <c r="C213" s="36"/>
      <c r="D213" s="36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101"/>
      <c r="AD213" s="101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6"/>
      <c r="AY213" s="42"/>
      <c r="AZ213" s="42"/>
    </row>
    <row r="214" spans="2:52">
      <c r="B214" s="36"/>
      <c r="C214" s="36"/>
      <c r="D214" s="36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101"/>
      <c r="AD214" s="101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6"/>
      <c r="AY214" s="42"/>
      <c r="AZ214" s="42"/>
    </row>
    <row r="215" spans="2:52">
      <c r="B215" s="36"/>
      <c r="C215" s="36"/>
      <c r="D215" s="36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101"/>
      <c r="AD215" s="101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6"/>
      <c r="AY215" s="42"/>
      <c r="AZ215" s="42"/>
    </row>
    <row r="216" spans="2:52">
      <c r="B216" s="36"/>
      <c r="C216" s="36"/>
      <c r="D216" s="36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101"/>
      <c r="AD216" s="101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6"/>
      <c r="AY216" s="42"/>
      <c r="AZ216" s="42"/>
    </row>
    <row r="217" spans="2:52">
      <c r="B217" s="36"/>
      <c r="C217" s="36"/>
      <c r="D217" s="36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101"/>
      <c r="AD217" s="101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6"/>
      <c r="AY217" s="42"/>
      <c r="AZ217" s="42"/>
    </row>
    <row r="218" spans="2:52">
      <c r="B218" s="36"/>
      <c r="C218" s="36"/>
      <c r="D218" s="36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101"/>
      <c r="AD218" s="101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6"/>
      <c r="AY218" s="42"/>
      <c r="AZ218" s="42"/>
    </row>
    <row r="219" spans="2:52">
      <c r="B219" s="36"/>
      <c r="C219" s="36"/>
      <c r="D219" s="36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101"/>
      <c r="AD219" s="101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6"/>
      <c r="AY219" s="42"/>
      <c r="AZ219" s="42"/>
    </row>
    <row r="220" spans="2:52">
      <c r="B220" s="36"/>
      <c r="C220" s="36"/>
      <c r="D220" s="36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101"/>
      <c r="AD220" s="101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6"/>
      <c r="AY220" s="42"/>
      <c r="AZ220" s="42"/>
    </row>
    <row r="221" spans="2:52">
      <c r="B221" s="36"/>
      <c r="C221" s="36"/>
      <c r="D221" s="36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101"/>
      <c r="AD221" s="101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6"/>
      <c r="AY221" s="42"/>
      <c r="AZ221" s="42"/>
    </row>
    <row r="222" spans="2:52">
      <c r="B222" s="36"/>
      <c r="C222" s="36"/>
      <c r="D222" s="36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101"/>
      <c r="AD222" s="101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6"/>
      <c r="AY222" s="42"/>
      <c r="AZ222" s="42"/>
    </row>
    <row r="223" spans="2:52">
      <c r="B223" s="36"/>
      <c r="C223" s="36"/>
      <c r="D223" s="36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101"/>
      <c r="AD223" s="101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6"/>
      <c r="AY223" s="42"/>
      <c r="AZ223" s="42"/>
    </row>
    <row r="224" spans="2:52">
      <c r="B224" s="36"/>
      <c r="C224" s="36"/>
      <c r="D224" s="36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101"/>
      <c r="AD224" s="101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6"/>
      <c r="AY224" s="42"/>
      <c r="AZ224" s="42"/>
    </row>
    <row r="225" spans="2:52">
      <c r="B225" s="36"/>
      <c r="C225" s="36"/>
      <c r="D225" s="36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101"/>
      <c r="AD225" s="101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6"/>
      <c r="AY225" s="42"/>
      <c r="AZ225" s="42"/>
    </row>
    <row r="226" spans="2:52">
      <c r="B226" s="36"/>
      <c r="C226" s="36"/>
      <c r="D226" s="36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101"/>
      <c r="AD226" s="101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6"/>
      <c r="AY226" s="42"/>
      <c r="AZ226" s="42"/>
    </row>
    <row r="227" spans="2:52">
      <c r="B227" s="36"/>
      <c r="C227" s="36"/>
      <c r="D227" s="36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101"/>
      <c r="AD227" s="101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6"/>
      <c r="AY227" s="42"/>
      <c r="AZ227" s="42"/>
    </row>
    <row r="228" spans="2:52">
      <c r="B228" s="36"/>
      <c r="C228" s="36"/>
      <c r="D228" s="36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101"/>
      <c r="AD228" s="101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6"/>
      <c r="AY228" s="42"/>
      <c r="AZ228" s="42"/>
    </row>
    <row r="229" spans="2:52">
      <c r="B229" s="36"/>
      <c r="C229" s="36"/>
      <c r="D229" s="36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101"/>
      <c r="AD229" s="101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6"/>
      <c r="AY229" s="42"/>
      <c r="AZ229" s="42"/>
    </row>
    <row r="230" spans="2:52">
      <c r="B230" s="36"/>
      <c r="C230" s="36"/>
      <c r="D230" s="36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101"/>
      <c r="AD230" s="101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6"/>
      <c r="AY230" s="42"/>
      <c r="AZ230" s="42"/>
    </row>
    <row r="231" spans="2:52">
      <c r="B231" s="36"/>
      <c r="C231" s="36"/>
      <c r="D231" s="36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101"/>
      <c r="AD231" s="101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6"/>
      <c r="AY231" s="42"/>
      <c r="AZ231" s="42"/>
    </row>
    <row r="232" spans="2:52">
      <c r="B232" s="36"/>
      <c r="C232" s="36"/>
      <c r="D232" s="36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101"/>
      <c r="AD232" s="101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6"/>
      <c r="AY232" s="42"/>
      <c r="AZ232" s="42"/>
    </row>
    <row r="233" spans="2:52">
      <c r="B233" s="36"/>
      <c r="C233" s="36"/>
      <c r="D233" s="36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101"/>
      <c r="AD233" s="101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6"/>
      <c r="AY233" s="42"/>
      <c r="AZ233" s="42"/>
    </row>
    <row r="234" spans="2:52">
      <c r="B234" s="36"/>
      <c r="C234" s="36"/>
      <c r="D234" s="36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101"/>
      <c r="AD234" s="101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6"/>
      <c r="AY234" s="42"/>
      <c r="AZ234" s="42"/>
    </row>
    <row r="235" spans="2:52">
      <c r="B235" s="36"/>
      <c r="C235" s="36"/>
      <c r="D235" s="36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101"/>
      <c r="AD235" s="101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6"/>
      <c r="AY235" s="42"/>
      <c r="AZ235" s="42"/>
    </row>
    <row r="236" spans="2:52">
      <c r="B236" s="36"/>
      <c r="C236" s="36"/>
      <c r="D236" s="36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101"/>
      <c r="AD236" s="101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6"/>
      <c r="AY236" s="42"/>
      <c r="AZ236" s="42"/>
    </row>
    <row r="237" spans="2:52">
      <c r="B237" s="36"/>
      <c r="C237" s="36"/>
      <c r="D237" s="36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101"/>
      <c r="AD237" s="101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6"/>
      <c r="AY237" s="42"/>
      <c r="AZ237" s="42"/>
    </row>
    <row r="238" spans="2:52">
      <c r="B238" s="36"/>
      <c r="C238" s="36"/>
      <c r="D238" s="36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101"/>
      <c r="AD238" s="101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6"/>
      <c r="AY238" s="42"/>
      <c r="AZ238" s="42"/>
    </row>
    <row r="239" spans="2:52">
      <c r="B239" s="36"/>
      <c r="C239" s="36"/>
      <c r="D239" s="36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101"/>
      <c r="AD239" s="101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6"/>
      <c r="AY239" s="42"/>
      <c r="AZ239" s="42"/>
    </row>
    <row r="240" spans="2:52">
      <c r="B240" s="36"/>
      <c r="C240" s="36"/>
      <c r="D240" s="36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101"/>
      <c r="AD240" s="101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6"/>
      <c r="AY240" s="42"/>
      <c r="AZ240" s="42"/>
    </row>
    <row r="241" spans="2:52">
      <c r="B241" s="36"/>
      <c r="C241" s="36"/>
      <c r="D241" s="36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101"/>
      <c r="AD241" s="101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6"/>
      <c r="AY241" s="42"/>
      <c r="AZ241" s="42"/>
    </row>
    <row r="242" spans="2:52">
      <c r="B242" s="36"/>
      <c r="C242" s="36"/>
      <c r="D242" s="36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101"/>
      <c r="AD242" s="101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6"/>
      <c r="AY242" s="42"/>
      <c r="AZ242" s="42"/>
    </row>
    <row r="243" spans="2:52">
      <c r="B243" s="36"/>
      <c r="C243" s="36"/>
      <c r="D243" s="36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101"/>
      <c r="AD243" s="101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6"/>
      <c r="AY243" s="42"/>
      <c r="AZ243" s="42"/>
    </row>
    <row r="244" spans="2:52">
      <c r="B244" s="36"/>
      <c r="C244" s="36"/>
      <c r="D244" s="36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101"/>
      <c r="AD244" s="101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6"/>
      <c r="AY244" s="42"/>
      <c r="AZ244" s="42"/>
    </row>
    <row r="245" spans="2:52">
      <c r="B245" s="36"/>
      <c r="C245" s="36"/>
      <c r="D245" s="36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101"/>
      <c r="AD245" s="101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6"/>
      <c r="AY245" s="42"/>
      <c r="AZ245" s="42"/>
    </row>
    <row r="246" spans="2:52">
      <c r="B246" s="36"/>
      <c r="C246" s="36"/>
      <c r="D246" s="36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101"/>
      <c r="AD246" s="101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6"/>
      <c r="AY246" s="42"/>
      <c r="AZ246" s="42"/>
    </row>
    <row r="247" spans="2:52">
      <c r="B247" s="36"/>
      <c r="C247" s="36"/>
      <c r="D247" s="36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101"/>
      <c r="AD247" s="101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6"/>
      <c r="AY247" s="42"/>
      <c r="AZ247" s="42"/>
    </row>
    <row r="248" spans="2:52">
      <c r="B248" s="36"/>
      <c r="C248" s="36"/>
      <c r="D248" s="36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101"/>
      <c r="AD248" s="101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6"/>
      <c r="AY248" s="42"/>
      <c r="AZ248" s="42"/>
    </row>
    <row r="249" spans="2:52">
      <c r="B249" s="36"/>
      <c r="C249" s="36"/>
      <c r="D249" s="36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101"/>
      <c r="AD249" s="101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6"/>
      <c r="AY249" s="42"/>
      <c r="AZ249" s="42"/>
    </row>
    <row r="250" spans="2:52">
      <c r="B250" s="36"/>
      <c r="C250" s="36"/>
      <c r="D250" s="36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101"/>
      <c r="AD250" s="101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6"/>
      <c r="AY250" s="42"/>
      <c r="AZ250" s="42"/>
    </row>
    <row r="251" spans="2:52">
      <c r="B251" s="36"/>
      <c r="C251" s="36"/>
      <c r="D251" s="36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101"/>
      <c r="AD251" s="101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6"/>
      <c r="AY251" s="42"/>
      <c r="AZ251" s="42"/>
    </row>
    <row r="252" spans="2:52">
      <c r="B252" s="36"/>
      <c r="C252" s="36"/>
      <c r="D252" s="36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101"/>
      <c r="AD252" s="101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6"/>
      <c r="AY252" s="42"/>
      <c r="AZ252" s="42"/>
    </row>
    <row r="253" spans="2:52">
      <c r="B253" s="36"/>
      <c r="C253" s="36"/>
      <c r="D253" s="36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101"/>
      <c r="AD253" s="101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6"/>
      <c r="AY253" s="42"/>
      <c r="AZ253" s="42"/>
    </row>
    <row r="254" spans="2:52">
      <c r="B254" s="36"/>
      <c r="C254" s="36"/>
      <c r="D254" s="36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101"/>
      <c r="AD254" s="101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6"/>
      <c r="AY254" s="42"/>
      <c r="AZ254" s="42"/>
    </row>
    <row r="255" spans="2:52">
      <c r="B255" s="36"/>
      <c r="C255" s="36"/>
      <c r="D255" s="36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101"/>
      <c r="AD255" s="101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6"/>
      <c r="AY255" s="42"/>
      <c r="AZ255" s="42"/>
    </row>
    <row r="256" spans="2:52">
      <c r="B256" s="36"/>
      <c r="C256" s="36"/>
      <c r="D256" s="36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101"/>
      <c r="AD256" s="101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6"/>
      <c r="AY256" s="42"/>
      <c r="AZ256" s="42"/>
    </row>
    <row r="257" spans="2:52">
      <c r="B257" s="36"/>
      <c r="C257" s="36"/>
      <c r="D257" s="36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101"/>
      <c r="AD257" s="101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6"/>
      <c r="AY257" s="42"/>
      <c r="AZ257" s="42"/>
    </row>
    <row r="258" spans="2:52">
      <c r="B258" s="36"/>
      <c r="C258" s="36"/>
      <c r="D258" s="36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101"/>
      <c r="AD258" s="101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6"/>
      <c r="AY258" s="42"/>
      <c r="AZ258" s="42"/>
    </row>
    <row r="259" spans="2:52">
      <c r="B259" s="36"/>
      <c r="C259" s="36"/>
      <c r="D259" s="36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101"/>
      <c r="AD259" s="101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6"/>
      <c r="AY259" s="42"/>
      <c r="AZ259" s="42"/>
    </row>
    <row r="260" spans="2:52">
      <c r="B260" s="36"/>
      <c r="C260" s="36"/>
      <c r="D260" s="36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101"/>
      <c r="AD260" s="101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6"/>
      <c r="AY260" s="42"/>
      <c r="AZ260" s="42"/>
    </row>
    <row r="261" spans="2:52">
      <c r="B261" s="36"/>
      <c r="C261" s="36"/>
      <c r="D261" s="36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101"/>
      <c r="AD261" s="101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6"/>
      <c r="AY261" s="42"/>
      <c r="AZ261" s="42"/>
    </row>
    <row r="262" spans="2:52">
      <c r="B262" s="36"/>
      <c r="C262" s="36"/>
      <c r="D262" s="36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101"/>
      <c r="AD262" s="101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6"/>
      <c r="AY262" s="42"/>
      <c r="AZ262" s="42"/>
    </row>
    <row r="263" spans="2:52">
      <c r="B263" s="36"/>
      <c r="C263" s="36"/>
      <c r="D263" s="36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101"/>
      <c r="AD263" s="101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6"/>
      <c r="AY263" s="42"/>
      <c r="AZ263" s="42"/>
    </row>
    <row r="264" spans="2:52">
      <c r="B264" s="36"/>
      <c r="C264" s="36"/>
      <c r="D264" s="36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101"/>
      <c r="AD264" s="101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6"/>
      <c r="AY264" s="42"/>
      <c r="AZ264" s="42"/>
    </row>
    <row r="265" spans="2:52">
      <c r="B265" s="36"/>
      <c r="C265" s="36"/>
      <c r="D265" s="36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101"/>
      <c r="AD265" s="101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6"/>
      <c r="AY265" s="42"/>
      <c r="AZ265" s="42"/>
    </row>
    <row r="266" spans="2:52">
      <c r="B266" s="36"/>
      <c r="C266" s="36"/>
      <c r="D266" s="36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101"/>
      <c r="AD266" s="101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6"/>
      <c r="AY266" s="42"/>
      <c r="AZ266" s="42"/>
    </row>
    <row r="267" spans="2:52">
      <c r="B267" s="36"/>
      <c r="C267" s="36"/>
      <c r="D267" s="36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101"/>
      <c r="AD267" s="101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6"/>
      <c r="AY267" s="42"/>
      <c r="AZ267" s="42"/>
    </row>
    <row r="268" spans="2:52">
      <c r="B268" s="36"/>
      <c r="C268" s="36"/>
      <c r="D268" s="36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101"/>
      <c r="AD268" s="101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6"/>
      <c r="AY268" s="42"/>
      <c r="AZ268" s="42"/>
    </row>
    <row r="269" spans="2:52">
      <c r="B269" s="36"/>
      <c r="C269" s="36"/>
      <c r="D269" s="36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101"/>
      <c r="AD269" s="101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6"/>
      <c r="AY269" s="42"/>
      <c r="AZ269" s="42"/>
    </row>
    <row r="270" spans="2:52">
      <c r="B270" s="36"/>
      <c r="C270" s="36"/>
      <c r="D270" s="36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101"/>
      <c r="AD270" s="101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6"/>
      <c r="AY270" s="42"/>
      <c r="AZ270" s="42"/>
    </row>
    <row r="271" spans="2:52">
      <c r="B271" s="36"/>
      <c r="C271" s="36"/>
      <c r="D271" s="36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101"/>
      <c r="AD271" s="101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6"/>
      <c r="AY271" s="42"/>
      <c r="AZ271" s="42"/>
    </row>
    <row r="272" spans="2:52">
      <c r="B272" s="36"/>
      <c r="C272" s="36"/>
      <c r="D272" s="36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101"/>
      <c r="AD272" s="101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6"/>
      <c r="AY272" s="42"/>
      <c r="AZ272" s="42"/>
    </row>
    <row r="273" spans="2:52">
      <c r="B273" s="36"/>
      <c r="C273" s="36"/>
      <c r="D273" s="36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101"/>
      <c r="AD273" s="101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6"/>
      <c r="AY273" s="42"/>
      <c r="AZ273" s="42"/>
    </row>
    <row r="274" spans="2:52">
      <c r="B274" s="36"/>
      <c r="C274" s="36"/>
      <c r="D274" s="36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101"/>
      <c r="AD274" s="101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6"/>
      <c r="AY274" s="42"/>
      <c r="AZ274" s="42"/>
    </row>
    <row r="275" spans="2:52">
      <c r="B275" s="36"/>
      <c r="C275" s="36"/>
      <c r="D275" s="36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101"/>
      <c r="AD275" s="101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6"/>
      <c r="AY275" s="42"/>
      <c r="AZ275" s="42"/>
    </row>
    <row r="276" spans="2:52">
      <c r="B276" s="36"/>
      <c r="C276" s="36"/>
      <c r="D276" s="36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101"/>
      <c r="AD276" s="101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6"/>
      <c r="AY276" s="42"/>
      <c r="AZ276" s="42"/>
    </row>
    <row r="277" spans="2:52">
      <c r="B277" s="36"/>
      <c r="C277" s="36"/>
      <c r="D277" s="36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101"/>
      <c r="AD277" s="101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6"/>
      <c r="AY277" s="42"/>
      <c r="AZ277" s="42"/>
    </row>
    <row r="278" spans="2:52">
      <c r="B278" s="36"/>
      <c r="C278" s="36"/>
      <c r="D278" s="36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101"/>
      <c r="AD278" s="101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6"/>
      <c r="AY278" s="42"/>
      <c r="AZ278" s="42"/>
    </row>
    <row r="279" spans="2:52">
      <c r="B279" s="36"/>
      <c r="C279" s="36"/>
      <c r="D279" s="36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101"/>
      <c r="AD279" s="101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6"/>
      <c r="AY279" s="42"/>
      <c r="AZ279" s="42"/>
    </row>
    <row r="280" spans="2:52">
      <c r="B280" s="36"/>
      <c r="C280" s="36"/>
      <c r="D280" s="36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101"/>
      <c r="AD280" s="101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6"/>
      <c r="AY280" s="42"/>
      <c r="AZ280" s="42"/>
    </row>
    <row r="281" spans="2:52">
      <c r="B281" s="36"/>
      <c r="C281" s="36"/>
      <c r="D281" s="36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101"/>
      <c r="AD281" s="101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6"/>
      <c r="AY281" s="42"/>
      <c r="AZ281" s="42"/>
    </row>
    <row r="282" spans="2:52">
      <c r="B282" s="36"/>
      <c r="C282" s="36"/>
      <c r="D282" s="36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101"/>
      <c r="AD282" s="101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6"/>
      <c r="AY282" s="42"/>
      <c r="AZ282" s="42"/>
    </row>
    <row r="283" spans="2:52">
      <c r="B283" s="36"/>
      <c r="C283" s="36"/>
      <c r="D283" s="36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101"/>
      <c r="AD283" s="101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6"/>
      <c r="AY283" s="42"/>
      <c r="AZ283" s="42"/>
    </row>
    <row r="284" spans="2:52">
      <c r="B284" s="36"/>
      <c r="C284" s="36"/>
      <c r="D284" s="36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101"/>
      <c r="AD284" s="101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6"/>
      <c r="AY284" s="42"/>
      <c r="AZ284" s="42"/>
    </row>
    <row r="285" spans="2:52">
      <c r="B285" s="36"/>
      <c r="C285" s="36"/>
      <c r="D285" s="36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101"/>
      <c r="AD285" s="101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6"/>
      <c r="AY285" s="42"/>
      <c r="AZ285" s="42"/>
    </row>
    <row r="286" spans="2:52">
      <c r="B286" s="36"/>
      <c r="C286" s="36"/>
      <c r="D286" s="36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101"/>
      <c r="AD286" s="101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6"/>
      <c r="AY286" s="42"/>
      <c r="AZ286" s="42"/>
    </row>
    <row r="287" spans="2:52">
      <c r="B287" s="36"/>
      <c r="C287" s="36"/>
      <c r="D287" s="36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101"/>
      <c r="AD287" s="101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6"/>
      <c r="AY287" s="42"/>
      <c r="AZ287" s="42"/>
    </row>
    <row r="288" spans="2:52">
      <c r="B288" s="36"/>
      <c r="C288" s="36"/>
      <c r="D288" s="36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101"/>
      <c r="AD288" s="101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6"/>
      <c r="AY288" s="42"/>
      <c r="AZ288" s="42"/>
    </row>
    <row r="289" spans="2:52">
      <c r="B289" s="36"/>
      <c r="C289" s="36"/>
      <c r="D289" s="36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101"/>
      <c r="AD289" s="101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6"/>
      <c r="AY289" s="42"/>
      <c r="AZ289" s="42"/>
    </row>
    <row r="290" spans="2:52">
      <c r="B290" s="36"/>
      <c r="C290" s="36"/>
      <c r="D290" s="36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101"/>
      <c r="AD290" s="101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6"/>
      <c r="AY290" s="42"/>
      <c r="AZ290" s="42"/>
    </row>
    <row r="291" spans="2:52">
      <c r="B291" s="36"/>
      <c r="C291" s="36"/>
      <c r="D291" s="36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101"/>
      <c r="AD291" s="101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6"/>
      <c r="AY291" s="42"/>
      <c r="AZ291" s="42"/>
    </row>
    <row r="292" spans="2:52">
      <c r="B292" s="36"/>
      <c r="C292" s="36"/>
      <c r="D292" s="36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101"/>
      <c r="AD292" s="101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6"/>
      <c r="AY292" s="42"/>
      <c r="AZ292" s="42"/>
    </row>
    <row r="293" spans="2:52">
      <c r="B293" s="36"/>
      <c r="C293" s="36"/>
      <c r="D293" s="36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101"/>
      <c r="AD293" s="101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6"/>
      <c r="AY293" s="42"/>
      <c r="AZ293" s="42"/>
    </row>
    <row r="294" spans="2:52">
      <c r="B294" s="36"/>
      <c r="C294" s="36"/>
      <c r="D294" s="36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101"/>
      <c r="AD294" s="101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6"/>
      <c r="AY294" s="42"/>
      <c r="AZ294" s="42"/>
    </row>
    <row r="295" spans="2:52">
      <c r="B295" s="36"/>
      <c r="C295" s="36"/>
      <c r="D295" s="36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101"/>
      <c r="AD295" s="101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6"/>
      <c r="AY295" s="42"/>
      <c r="AZ295" s="42"/>
    </row>
    <row r="296" spans="2:52">
      <c r="B296" s="36"/>
      <c r="C296" s="36"/>
      <c r="D296" s="36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101"/>
      <c r="AD296" s="101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6"/>
      <c r="AY296" s="42"/>
      <c r="AZ296" s="42"/>
    </row>
    <row r="297" spans="2:52">
      <c r="B297" s="36"/>
      <c r="C297" s="36"/>
      <c r="D297" s="36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101"/>
      <c r="AD297" s="101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6"/>
      <c r="AY297" s="42"/>
      <c r="AZ297" s="42"/>
    </row>
    <row r="298" spans="2:52">
      <c r="B298" s="36"/>
      <c r="C298" s="36"/>
      <c r="D298" s="36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101"/>
      <c r="AD298" s="101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6"/>
      <c r="AY298" s="42"/>
      <c r="AZ298" s="42"/>
    </row>
    <row r="299" spans="2:52">
      <c r="B299" s="36"/>
      <c r="C299" s="36"/>
      <c r="D299" s="36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101"/>
      <c r="AD299" s="101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6"/>
      <c r="AY299" s="42"/>
      <c r="AZ299" s="42"/>
    </row>
    <row r="300" spans="2:52">
      <c r="B300" s="36"/>
      <c r="C300" s="36"/>
      <c r="D300" s="36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101"/>
      <c r="AD300" s="101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6"/>
      <c r="AY300" s="42"/>
      <c r="AZ300" s="42"/>
    </row>
    <row r="301" spans="2:52">
      <c r="B301" s="36"/>
      <c r="C301" s="36"/>
      <c r="D301" s="36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101"/>
      <c r="AD301" s="101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6"/>
      <c r="AY301" s="42"/>
      <c r="AZ301" s="42"/>
    </row>
    <row r="302" spans="2:52">
      <c r="B302" s="36"/>
      <c r="C302" s="36"/>
      <c r="D302" s="36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101"/>
      <c r="AD302" s="101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6"/>
      <c r="AY302" s="42"/>
      <c r="AZ302" s="42"/>
    </row>
    <row r="303" spans="2:52">
      <c r="B303" s="36"/>
      <c r="C303" s="36"/>
      <c r="D303" s="36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101"/>
      <c r="AD303" s="101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6"/>
      <c r="AY303" s="42"/>
      <c r="AZ303" s="42"/>
    </row>
    <row r="304" spans="2:52">
      <c r="B304" s="36"/>
      <c r="C304" s="36"/>
      <c r="D304" s="36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101"/>
      <c r="AD304" s="101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6"/>
      <c r="AY304" s="42"/>
      <c r="AZ304" s="42"/>
    </row>
    <row r="305" spans="2:52">
      <c r="B305" s="36"/>
      <c r="C305" s="36"/>
      <c r="D305" s="36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101"/>
      <c r="AD305" s="101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6"/>
      <c r="AY305" s="42"/>
      <c r="AZ305" s="42"/>
    </row>
    <row r="306" spans="2:52">
      <c r="B306" s="36"/>
      <c r="C306" s="36"/>
      <c r="D306" s="36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101"/>
      <c r="AD306" s="101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6"/>
      <c r="AY306" s="42"/>
      <c r="AZ306" s="42"/>
    </row>
    <row r="307" spans="2:52">
      <c r="B307" s="36"/>
      <c r="C307" s="36"/>
      <c r="D307" s="36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101"/>
      <c r="AD307" s="101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6"/>
      <c r="AY307" s="42"/>
      <c r="AZ307" s="42"/>
    </row>
    <row r="308" spans="2:52">
      <c r="B308" s="36"/>
      <c r="C308" s="36"/>
      <c r="D308" s="36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101"/>
      <c r="AD308" s="101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6"/>
      <c r="AY308" s="42"/>
      <c r="AZ308" s="42"/>
    </row>
    <row r="309" spans="2:52">
      <c r="B309" s="36"/>
      <c r="C309" s="36"/>
      <c r="D309" s="36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101"/>
      <c r="AD309" s="101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6"/>
      <c r="AY309" s="42"/>
      <c r="AZ309" s="42"/>
    </row>
    <row r="310" spans="2:52">
      <c r="B310" s="36"/>
      <c r="C310" s="36"/>
      <c r="D310" s="36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101"/>
      <c r="AD310" s="101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6"/>
      <c r="AY310" s="42"/>
      <c r="AZ310" s="42"/>
    </row>
    <row r="311" spans="2:52">
      <c r="B311" s="36"/>
      <c r="C311" s="36"/>
      <c r="D311" s="36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101"/>
      <c r="AD311" s="101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6"/>
      <c r="AY311" s="42"/>
      <c r="AZ311" s="42"/>
    </row>
    <row r="312" spans="2:52">
      <c r="B312" s="36"/>
      <c r="C312" s="36"/>
      <c r="D312" s="36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101"/>
      <c r="AD312" s="101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6"/>
      <c r="AY312" s="42"/>
      <c r="AZ312" s="42"/>
    </row>
    <row r="313" spans="2:52">
      <c r="B313" s="36"/>
      <c r="C313" s="36"/>
      <c r="D313" s="36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101"/>
      <c r="AD313" s="101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6"/>
      <c r="AY313" s="42"/>
      <c r="AZ313" s="42"/>
    </row>
    <row r="314" spans="2:52">
      <c r="B314" s="36"/>
      <c r="C314" s="36"/>
      <c r="D314" s="36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101"/>
      <c r="AD314" s="101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6"/>
      <c r="AY314" s="42"/>
      <c r="AZ314" s="42"/>
    </row>
    <row r="315" spans="2:52">
      <c r="B315" s="36"/>
      <c r="C315" s="36"/>
      <c r="D315" s="36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101"/>
      <c r="AD315" s="101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6"/>
      <c r="AY315" s="42"/>
      <c r="AZ315" s="42"/>
    </row>
    <row r="316" spans="2:52">
      <c r="B316" s="36"/>
      <c r="C316" s="36"/>
      <c r="D316" s="36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101"/>
      <c r="AD316" s="101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6"/>
      <c r="AY316" s="42"/>
      <c r="AZ316" s="42"/>
    </row>
    <row r="317" spans="2:52">
      <c r="B317" s="36"/>
      <c r="C317" s="36"/>
      <c r="D317" s="36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101"/>
      <c r="AD317" s="101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6"/>
      <c r="AY317" s="42"/>
      <c r="AZ317" s="42"/>
    </row>
    <row r="318" spans="2:52">
      <c r="B318" s="36"/>
      <c r="C318" s="36"/>
      <c r="D318" s="36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101"/>
      <c r="AD318" s="101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6"/>
      <c r="AY318" s="42"/>
      <c r="AZ318" s="42"/>
    </row>
    <row r="319" spans="2:52">
      <c r="B319" s="36"/>
      <c r="C319" s="36"/>
      <c r="D319" s="36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101"/>
      <c r="AD319" s="101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6"/>
      <c r="AY319" s="42"/>
      <c r="AZ319" s="42"/>
    </row>
    <row r="320" spans="2:52">
      <c r="B320" s="36"/>
      <c r="C320" s="36"/>
      <c r="D320" s="36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101"/>
      <c r="AD320" s="101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6"/>
      <c r="AY320" s="42"/>
      <c r="AZ320" s="42"/>
    </row>
    <row r="321" spans="2:52">
      <c r="B321" s="36"/>
      <c r="C321" s="36"/>
      <c r="D321" s="36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101"/>
      <c r="AD321" s="101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6"/>
      <c r="AY321" s="42"/>
      <c r="AZ321" s="42"/>
    </row>
    <row r="322" spans="2:52">
      <c r="B322" s="36"/>
      <c r="C322" s="36"/>
      <c r="D322" s="36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101"/>
      <c r="AD322" s="101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6"/>
      <c r="AY322" s="42"/>
      <c r="AZ322" s="42"/>
    </row>
    <row r="323" spans="2:52">
      <c r="B323" s="36"/>
      <c r="C323" s="36"/>
      <c r="D323" s="36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101"/>
      <c r="AD323" s="101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6"/>
      <c r="AY323" s="42"/>
      <c r="AZ323" s="42"/>
    </row>
    <row r="324" spans="2:52">
      <c r="B324" s="36"/>
      <c r="C324" s="36"/>
      <c r="D324" s="36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101"/>
      <c r="AD324" s="101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6"/>
      <c r="AY324" s="42"/>
      <c r="AZ324" s="42"/>
    </row>
    <row r="325" spans="2:52">
      <c r="B325" s="36"/>
      <c r="C325" s="36"/>
      <c r="D325" s="36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101"/>
      <c r="AD325" s="101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6"/>
      <c r="AY325" s="42"/>
      <c r="AZ325" s="42"/>
    </row>
    <row r="326" spans="2:52">
      <c r="B326" s="36"/>
      <c r="C326" s="36"/>
      <c r="D326" s="36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101"/>
      <c r="AD326" s="101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6"/>
      <c r="AY326" s="42"/>
      <c r="AZ326" s="42"/>
    </row>
    <row r="327" spans="2:52">
      <c r="B327" s="36"/>
      <c r="C327" s="36"/>
      <c r="D327" s="36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101"/>
      <c r="AD327" s="101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6"/>
      <c r="AY327" s="42"/>
      <c r="AZ327" s="42"/>
    </row>
    <row r="328" spans="2:52">
      <c r="B328" s="36"/>
      <c r="C328" s="36"/>
      <c r="D328" s="36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101"/>
      <c r="AD328" s="101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6"/>
      <c r="AY328" s="42"/>
      <c r="AZ328" s="42"/>
    </row>
    <row r="329" spans="2:52">
      <c r="B329" s="36"/>
      <c r="C329" s="36"/>
      <c r="D329" s="36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101"/>
      <c r="AD329" s="101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6"/>
      <c r="AY329" s="42"/>
      <c r="AZ329" s="42"/>
    </row>
    <row r="330" spans="2:52">
      <c r="B330" s="36"/>
      <c r="C330" s="36"/>
      <c r="D330" s="36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101"/>
      <c r="AD330" s="101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6"/>
      <c r="AY330" s="42"/>
      <c r="AZ330" s="42"/>
    </row>
    <row r="331" spans="2:52">
      <c r="B331" s="36"/>
      <c r="C331" s="36"/>
      <c r="D331" s="36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101"/>
      <c r="AD331" s="101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6"/>
      <c r="AY331" s="42"/>
      <c r="AZ331" s="42"/>
    </row>
    <row r="332" spans="2:52">
      <c r="B332" s="36"/>
      <c r="C332" s="36"/>
      <c r="D332" s="36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101"/>
      <c r="AD332" s="101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6"/>
      <c r="AY332" s="42"/>
      <c r="AZ332" s="42"/>
    </row>
    <row r="333" spans="2:52">
      <c r="B333" s="36"/>
      <c r="C333" s="36"/>
      <c r="D333" s="36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101"/>
      <c r="AD333" s="101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6"/>
      <c r="AY333" s="42"/>
      <c r="AZ333" s="42"/>
    </row>
    <row r="334" spans="2:52">
      <c r="B334" s="36"/>
      <c r="C334" s="36"/>
      <c r="D334" s="36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101"/>
      <c r="AD334" s="101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6"/>
      <c r="AY334" s="42"/>
      <c r="AZ334" s="42"/>
    </row>
    <row r="335" spans="2:52">
      <c r="B335" s="36"/>
      <c r="C335" s="36"/>
      <c r="D335" s="36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101"/>
      <c r="AD335" s="101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6"/>
      <c r="AY335" s="42"/>
      <c r="AZ335" s="42"/>
    </row>
    <row r="336" spans="2:52">
      <c r="B336" s="36"/>
      <c r="C336" s="36"/>
      <c r="D336" s="36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101"/>
      <c r="AD336" s="101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6"/>
      <c r="AY336" s="42"/>
      <c r="AZ336" s="42"/>
    </row>
    <row r="337" spans="2:52">
      <c r="B337" s="36"/>
      <c r="C337" s="36"/>
      <c r="D337" s="36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101"/>
      <c r="AD337" s="101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6"/>
      <c r="AY337" s="42"/>
      <c r="AZ337" s="42"/>
    </row>
    <row r="338" spans="2:52">
      <c r="B338" s="36"/>
      <c r="C338" s="36"/>
      <c r="D338" s="36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101"/>
      <c r="AD338" s="101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6"/>
      <c r="AY338" s="42"/>
      <c r="AZ338" s="42"/>
    </row>
    <row r="339" spans="2:52">
      <c r="B339" s="36"/>
      <c r="C339" s="36"/>
      <c r="D339" s="36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101"/>
      <c r="AD339" s="101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6"/>
      <c r="AY339" s="42"/>
      <c r="AZ339" s="42"/>
    </row>
    <row r="340" spans="2:52">
      <c r="B340" s="36"/>
      <c r="C340" s="36"/>
      <c r="D340" s="36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101"/>
      <c r="AD340" s="101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6"/>
      <c r="AY340" s="42"/>
      <c r="AZ340" s="42"/>
    </row>
    <row r="341" spans="2:52">
      <c r="B341" s="36"/>
      <c r="C341" s="36"/>
      <c r="D341" s="36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101"/>
      <c r="AD341" s="101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6"/>
      <c r="AY341" s="42"/>
      <c r="AZ341" s="42"/>
    </row>
    <row r="342" spans="2:52">
      <c r="B342" s="36"/>
      <c r="C342" s="36"/>
      <c r="D342" s="36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101"/>
      <c r="AD342" s="101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6"/>
      <c r="AY342" s="42"/>
      <c r="AZ342" s="42"/>
    </row>
    <row r="343" spans="2:52">
      <c r="B343" s="36"/>
      <c r="C343" s="36"/>
      <c r="D343" s="36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101"/>
      <c r="AD343" s="101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6"/>
      <c r="AY343" s="42"/>
      <c r="AZ343" s="42"/>
    </row>
    <row r="344" spans="2:52">
      <c r="B344" s="36"/>
      <c r="C344" s="36"/>
      <c r="D344" s="36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101"/>
      <c r="AD344" s="101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6"/>
      <c r="AY344" s="42"/>
      <c r="AZ344" s="42"/>
    </row>
    <row r="345" spans="2:52">
      <c r="B345" s="36"/>
      <c r="C345" s="36"/>
      <c r="D345" s="36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101"/>
      <c r="AD345" s="101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6"/>
      <c r="AY345" s="42"/>
      <c r="AZ345" s="42"/>
    </row>
    <row r="346" spans="2:52">
      <c r="B346" s="36"/>
      <c r="C346" s="36"/>
      <c r="D346" s="36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101"/>
      <c r="AD346" s="101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6"/>
      <c r="AY346" s="42"/>
      <c r="AZ346" s="42"/>
    </row>
    <row r="347" spans="2:52">
      <c r="B347" s="36"/>
      <c r="C347" s="36"/>
      <c r="D347" s="36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101"/>
      <c r="AD347" s="101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6"/>
      <c r="AY347" s="42"/>
      <c r="AZ347" s="42"/>
    </row>
    <row r="348" spans="2:52">
      <c r="B348" s="36"/>
      <c r="C348" s="36"/>
      <c r="D348" s="36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101"/>
      <c r="AD348" s="101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6"/>
      <c r="AY348" s="42"/>
      <c r="AZ348" s="42"/>
    </row>
    <row r="349" spans="2:52">
      <c r="B349" s="36"/>
      <c r="C349" s="36"/>
      <c r="D349" s="36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101"/>
      <c r="AD349" s="101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6"/>
      <c r="AY349" s="42"/>
      <c r="AZ349" s="42"/>
    </row>
    <row r="350" spans="2:52">
      <c r="B350" s="36"/>
      <c r="C350" s="36"/>
      <c r="D350" s="36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101"/>
      <c r="AD350" s="101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6"/>
      <c r="AY350" s="42"/>
      <c r="AZ350" s="42"/>
    </row>
    <row r="351" spans="2:52">
      <c r="B351" s="36"/>
      <c r="C351" s="36"/>
      <c r="D351" s="36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101"/>
      <c r="AD351" s="101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6"/>
      <c r="AY351" s="42"/>
      <c r="AZ351" s="42"/>
    </row>
    <row r="352" spans="2:52">
      <c r="B352" s="36"/>
      <c r="C352" s="36"/>
      <c r="D352" s="36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101"/>
      <c r="AD352" s="101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6"/>
      <c r="AY352" s="42"/>
      <c r="AZ352" s="42"/>
    </row>
    <row r="353" spans="2:52">
      <c r="B353" s="36"/>
      <c r="C353" s="36"/>
      <c r="D353" s="36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101"/>
      <c r="AD353" s="101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6"/>
      <c r="AY353" s="42"/>
      <c r="AZ353" s="42"/>
    </row>
    <row r="354" spans="2:52">
      <c r="B354" s="36"/>
      <c r="C354" s="36"/>
      <c r="D354" s="36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101"/>
      <c r="AD354" s="101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6"/>
      <c r="AY354" s="42"/>
      <c r="AZ354" s="42"/>
    </row>
    <row r="355" spans="2:52">
      <c r="B355" s="36"/>
      <c r="C355" s="36"/>
      <c r="D355" s="36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101"/>
      <c r="AD355" s="101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6"/>
      <c r="AY355" s="42"/>
      <c r="AZ355" s="42"/>
    </row>
    <row r="356" spans="2:52">
      <c r="B356" s="36"/>
      <c r="C356" s="36"/>
      <c r="D356" s="36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101"/>
      <c r="AD356" s="101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6"/>
      <c r="AY356" s="42"/>
      <c r="AZ356" s="42"/>
    </row>
    <row r="357" spans="2:52">
      <c r="B357" s="36"/>
      <c r="C357" s="36"/>
      <c r="D357" s="36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101"/>
      <c r="AD357" s="101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6"/>
      <c r="AY357" s="42"/>
      <c r="AZ357" s="42"/>
    </row>
    <row r="358" spans="2:52">
      <c r="B358" s="36"/>
      <c r="C358" s="36"/>
      <c r="D358" s="36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101"/>
      <c r="AD358" s="101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6"/>
      <c r="AY358" s="42"/>
      <c r="AZ358" s="42"/>
    </row>
    <row r="359" spans="2:52">
      <c r="B359" s="36"/>
      <c r="C359" s="36"/>
      <c r="D359" s="36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101"/>
      <c r="AD359" s="101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6"/>
      <c r="AY359" s="42"/>
      <c r="AZ359" s="42"/>
    </row>
    <row r="360" spans="2:52">
      <c r="B360" s="36"/>
      <c r="C360" s="36"/>
      <c r="D360" s="36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101"/>
      <c r="AD360" s="101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6"/>
      <c r="AY360" s="42"/>
      <c r="AZ360" s="42"/>
    </row>
    <row r="361" spans="2:52">
      <c r="B361" s="36"/>
      <c r="C361" s="36"/>
      <c r="D361" s="36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101"/>
      <c r="AD361" s="101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6"/>
      <c r="AY361" s="42"/>
      <c r="AZ361" s="42"/>
    </row>
    <row r="362" spans="2:52">
      <c r="B362" s="36"/>
      <c r="C362" s="36"/>
      <c r="D362" s="36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101"/>
      <c r="AD362" s="101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6"/>
      <c r="AY362" s="42"/>
      <c r="AZ362" s="42"/>
    </row>
    <row r="363" spans="2:52">
      <c r="B363" s="36"/>
      <c r="C363" s="36"/>
      <c r="D363" s="36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101"/>
      <c r="AD363" s="101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6"/>
      <c r="AY363" s="42"/>
      <c r="AZ363" s="42"/>
    </row>
    <row r="364" spans="2:52">
      <c r="B364" s="36"/>
      <c r="C364" s="36"/>
      <c r="D364" s="36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101"/>
      <c r="AD364" s="101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6"/>
      <c r="AY364" s="42"/>
      <c r="AZ364" s="42"/>
    </row>
    <row r="365" spans="2:52">
      <c r="B365" s="36"/>
      <c r="C365" s="36"/>
      <c r="D365" s="36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101"/>
      <c r="AD365" s="101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6"/>
      <c r="AY365" s="42"/>
      <c r="AZ365" s="42"/>
    </row>
    <row r="366" spans="2:52">
      <c r="B366" s="36"/>
      <c r="C366" s="36"/>
      <c r="D366" s="36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101"/>
      <c r="AD366" s="101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6"/>
      <c r="AY366" s="42"/>
      <c r="AZ366" s="42"/>
    </row>
    <row r="367" spans="2:52">
      <c r="B367" s="36"/>
      <c r="C367" s="36"/>
      <c r="D367" s="36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101"/>
      <c r="AD367" s="101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6"/>
      <c r="AY367" s="42"/>
      <c r="AZ367" s="42"/>
    </row>
    <row r="368" spans="2:52">
      <c r="B368" s="36"/>
      <c r="C368" s="36"/>
      <c r="D368" s="36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101"/>
      <c r="AD368" s="101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6"/>
      <c r="AY368" s="42"/>
      <c r="AZ368" s="42"/>
    </row>
    <row r="369" spans="2:52">
      <c r="B369" s="36"/>
      <c r="C369" s="36"/>
      <c r="D369" s="36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101"/>
      <c r="AD369" s="101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6"/>
      <c r="AY369" s="42"/>
      <c r="AZ369" s="42"/>
    </row>
    <row r="370" spans="2:52">
      <c r="B370" s="36"/>
      <c r="C370" s="36"/>
      <c r="D370" s="36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101"/>
      <c r="AD370" s="101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6"/>
      <c r="AY370" s="42"/>
      <c r="AZ370" s="42"/>
    </row>
    <row r="371" spans="2:52">
      <c r="B371" s="36"/>
      <c r="C371" s="36"/>
      <c r="D371" s="36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101"/>
      <c r="AD371" s="101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6"/>
      <c r="AY371" s="42"/>
      <c r="AZ371" s="42"/>
    </row>
    <row r="372" spans="2:52">
      <c r="B372" s="36"/>
      <c r="C372" s="36"/>
      <c r="D372" s="36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101"/>
      <c r="AD372" s="101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6"/>
      <c r="AY372" s="42"/>
      <c r="AZ372" s="42"/>
    </row>
    <row r="373" spans="2:52">
      <c r="B373" s="36"/>
      <c r="C373" s="36"/>
      <c r="D373" s="36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101"/>
      <c r="AD373" s="101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6"/>
      <c r="AY373" s="42"/>
      <c r="AZ373" s="42"/>
    </row>
    <row r="374" spans="2:52">
      <c r="B374" s="36"/>
      <c r="C374" s="36"/>
      <c r="D374" s="36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101"/>
      <c r="AD374" s="101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6"/>
      <c r="AY374" s="42"/>
      <c r="AZ374" s="42"/>
    </row>
    <row r="375" spans="2:52">
      <c r="B375" s="36"/>
      <c r="C375" s="36"/>
      <c r="D375" s="36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101"/>
      <c r="AD375" s="101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6"/>
      <c r="AY375" s="42"/>
      <c r="AZ375" s="42"/>
    </row>
    <row r="376" spans="2:52">
      <c r="B376" s="36"/>
      <c r="C376" s="36"/>
      <c r="D376" s="36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101"/>
      <c r="AD376" s="101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6"/>
      <c r="AY376" s="42"/>
      <c r="AZ376" s="42"/>
    </row>
    <row r="377" spans="2:52">
      <c r="B377" s="36"/>
      <c r="C377" s="36"/>
      <c r="D377" s="36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101"/>
      <c r="AD377" s="101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6"/>
      <c r="AY377" s="42"/>
      <c r="AZ377" s="42"/>
    </row>
    <row r="378" spans="2:52">
      <c r="B378" s="36"/>
      <c r="C378" s="36"/>
      <c r="D378" s="36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101"/>
      <c r="AD378" s="101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6"/>
      <c r="AY378" s="42"/>
      <c r="AZ378" s="42"/>
    </row>
    <row r="379" spans="2:52">
      <c r="B379" s="36"/>
      <c r="C379" s="36"/>
      <c r="D379" s="36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101"/>
      <c r="AD379" s="101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6"/>
      <c r="AY379" s="42"/>
      <c r="AZ379" s="42"/>
    </row>
    <row r="380" spans="2:52">
      <c r="B380" s="36"/>
      <c r="C380" s="36"/>
      <c r="D380" s="36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101"/>
      <c r="AD380" s="101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6"/>
      <c r="AY380" s="42"/>
      <c r="AZ380" s="42"/>
    </row>
    <row r="381" spans="2:52">
      <c r="B381" s="36"/>
      <c r="C381" s="36"/>
      <c r="D381" s="36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101"/>
      <c r="AD381" s="101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6"/>
      <c r="AY381" s="42"/>
      <c r="AZ381" s="42"/>
    </row>
    <row r="382" spans="2:52">
      <c r="B382" s="36"/>
      <c r="C382" s="36"/>
      <c r="D382" s="36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101"/>
      <c r="AD382" s="101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6"/>
      <c r="AY382" s="42"/>
      <c r="AZ382" s="42"/>
    </row>
    <row r="383" spans="2:52">
      <c r="B383" s="36"/>
      <c r="C383" s="36"/>
      <c r="D383" s="36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101"/>
      <c r="AD383" s="101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6"/>
      <c r="AY383" s="42"/>
      <c r="AZ383" s="42"/>
    </row>
    <row r="384" spans="2:52">
      <c r="B384" s="36"/>
      <c r="C384" s="36"/>
      <c r="D384" s="36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101"/>
      <c r="AD384" s="101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6"/>
      <c r="AY384" s="42"/>
      <c r="AZ384" s="42"/>
    </row>
    <row r="385" spans="2:52">
      <c r="B385" s="36"/>
      <c r="C385" s="36"/>
      <c r="D385" s="36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101"/>
      <c r="AD385" s="101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6"/>
      <c r="AY385" s="42"/>
      <c r="AZ385" s="42"/>
    </row>
    <row r="386" spans="2:52">
      <c r="B386" s="36"/>
      <c r="C386" s="36"/>
      <c r="D386" s="36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101"/>
      <c r="AD386" s="101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6"/>
      <c r="AY386" s="42"/>
      <c r="AZ386" s="42"/>
    </row>
    <row r="387" spans="2:52">
      <c r="B387" s="36"/>
      <c r="C387" s="36"/>
      <c r="D387" s="36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101"/>
      <c r="AD387" s="101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6"/>
      <c r="AY387" s="42"/>
      <c r="AZ387" s="42"/>
    </row>
    <row r="388" spans="2:52">
      <c r="B388" s="36"/>
      <c r="C388" s="36"/>
      <c r="D388" s="36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101"/>
      <c r="AD388" s="101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6"/>
      <c r="AY388" s="42"/>
      <c r="AZ388" s="42"/>
    </row>
    <row r="389" spans="2:52">
      <c r="B389" s="36"/>
      <c r="C389" s="36"/>
      <c r="D389" s="36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101"/>
      <c r="AD389" s="101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6"/>
      <c r="AY389" s="42"/>
      <c r="AZ389" s="42"/>
    </row>
    <row r="390" spans="2:52">
      <c r="B390" s="36"/>
      <c r="C390" s="36"/>
      <c r="D390" s="36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101"/>
      <c r="AD390" s="101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6"/>
      <c r="AY390" s="42"/>
      <c r="AZ390" s="42"/>
    </row>
    <row r="391" spans="2:52">
      <c r="B391" s="36"/>
      <c r="C391" s="36"/>
      <c r="D391" s="36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101"/>
      <c r="AD391" s="101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6"/>
      <c r="AY391" s="42"/>
      <c r="AZ391" s="42"/>
    </row>
    <row r="392" spans="2:52">
      <c r="B392" s="36"/>
      <c r="C392" s="36"/>
      <c r="D392" s="36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101"/>
      <c r="AD392" s="101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6"/>
      <c r="AY392" s="42"/>
      <c r="AZ392" s="42"/>
    </row>
    <row r="393" spans="2:52">
      <c r="B393" s="36"/>
      <c r="C393" s="36"/>
      <c r="D393" s="36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101"/>
      <c r="AD393" s="101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6"/>
      <c r="AY393" s="42"/>
      <c r="AZ393" s="42"/>
    </row>
    <row r="394" spans="2:52">
      <c r="B394" s="36"/>
      <c r="C394" s="36"/>
      <c r="D394" s="36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101"/>
      <c r="AD394" s="101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6"/>
      <c r="AY394" s="42"/>
      <c r="AZ394" s="42"/>
    </row>
    <row r="395" spans="2:52">
      <c r="B395" s="36"/>
      <c r="C395" s="36"/>
      <c r="D395" s="36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101"/>
      <c r="AD395" s="101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6"/>
      <c r="AY395" s="42"/>
      <c r="AZ395" s="42"/>
    </row>
    <row r="396" spans="2:52">
      <c r="B396" s="36"/>
      <c r="C396" s="36"/>
      <c r="D396" s="36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101"/>
      <c r="AD396" s="101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6"/>
      <c r="AY396" s="42"/>
      <c r="AZ396" s="42"/>
    </row>
    <row r="397" spans="2:52">
      <c r="B397" s="36"/>
      <c r="C397" s="36"/>
      <c r="D397" s="36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101"/>
      <c r="AD397" s="101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6"/>
      <c r="AY397" s="42"/>
      <c r="AZ397" s="42"/>
    </row>
    <row r="398" spans="2:52">
      <c r="B398" s="36"/>
      <c r="C398" s="36"/>
      <c r="D398" s="36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101"/>
      <c r="AD398" s="101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6"/>
      <c r="AY398" s="42"/>
      <c r="AZ398" s="42"/>
    </row>
    <row r="399" spans="2:52">
      <c r="B399" s="36"/>
      <c r="C399" s="36"/>
      <c r="D399" s="36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101"/>
      <c r="AD399" s="101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6"/>
      <c r="AY399" s="42"/>
      <c r="AZ399" s="42"/>
    </row>
    <row r="400" spans="2:52">
      <c r="B400" s="36"/>
      <c r="C400" s="36"/>
      <c r="D400" s="36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101"/>
      <c r="AD400" s="101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6"/>
      <c r="AY400" s="42"/>
      <c r="AZ400" s="42"/>
    </row>
    <row r="401" spans="2:52">
      <c r="B401" s="36"/>
      <c r="C401" s="36"/>
      <c r="D401" s="36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101"/>
      <c r="AD401" s="101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6"/>
      <c r="AY401" s="42"/>
      <c r="AZ401" s="42"/>
    </row>
    <row r="402" spans="2:52">
      <c r="B402" s="36"/>
      <c r="C402" s="36"/>
      <c r="D402" s="36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101"/>
      <c r="AD402" s="101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6"/>
      <c r="AY402" s="42"/>
      <c r="AZ402" s="42"/>
    </row>
    <row r="403" spans="2:52">
      <c r="B403" s="36"/>
      <c r="C403" s="36"/>
      <c r="D403" s="36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101"/>
      <c r="AD403" s="101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6"/>
      <c r="AY403" s="42"/>
      <c r="AZ403" s="42"/>
    </row>
    <row r="404" spans="2:52">
      <c r="B404" s="36"/>
      <c r="C404" s="36"/>
      <c r="D404" s="36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101"/>
      <c r="AD404" s="101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6"/>
      <c r="AY404" s="42"/>
      <c r="AZ404" s="42"/>
    </row>
    <row r="405" spans="2:52">
      <c r="B405" s="36"/>
      <c r="C405" s="36"/>
      <c r="D405" s="36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101"/>
      <c r="AD405" s="101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6"/>
      <c r="AY405" s="42"/>
      <c r="AZ405" s="42"/>
    </row>
    <row r="406" spans="2:52">
      <c r="B406" s="36"/>
      <c r="C406" s="36"/>
      <c r="D406" s="36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101"/>
      <c r="AD406" s="101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6"/>
      <c r="AY406" s="42"/>
      <c r="AZ406" s="42"/>
    </row>
    <row r="407" spans="2:52">
      <c r="B407" s="36"/>
      <c r="C407" s="36"/>
      <c r="D407" s="36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101"/>
      <c r="AD407" s="101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6"/>
      <c r="AY407" s="42"/>
      <c r="AZ407" s="42"/>
    </row>
    <row r="408" spans="2:52">
      <c r="B408" s="36"/>
      <c r="C408" s="36"/>
      <c r="D408" s="36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101"/>
      <c r="AD408" s="101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6"/>
      <c r="AY408" s="42"/>
      <c r="AZ408" s="42"/>
    </row>
    <row r="409" spans="2:52">
      <c r="B409" s="36"/>
      <c r="C409" s="36"/>
      <c r="D409" s="36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101"/>
      <c r="AD409" s="101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6"/>
      <c r="AY409" s="42"/>
      <c r="AZ409" s="42"/>
    </row>
    <row r="410" spans="2:52">
      <c r="B410" s="36"/>
      <c r="C410" s="36"/>
      <c r="D410" s="36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101"/>
      <c r="AD410" s="101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6"/>
      <c r="AY410" s="42"/>
      <c r="AZ410" s="42"/>
    </row>
    <row r="411" spans="2:52">
      <c r="B411" s="36"/>
      <c r="C411" s="36"/>
      <c r="D411" s="36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101"/>
      <c r="AD411" s="101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6"/>
      <c r="AY411" s="42"/>
      <c r="AZ411" s="42"/>
    </row>
    <row r="412" spans="2:52">
      <c r="B412" s="36"/>
      <c r="C412" s="36"/>
      <c r="D412" s="36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101"/>
      <c r="AD412" s="101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6"/>
      <c r="AY412" s="42"/>
      <c r="AZ412" s="42"/>
    </row>
    <row r="413" spans="2:52">
      <c r="B413" s="36"/>
      <c r="C413" s="36"/>
      <c r="D413" s="36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101"/>
      <c r="AD413" s="101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6"/>
      <c r="AY413" s="42"/>
      <c r="AZ413" s="42"/>
    </row>
    <row r="414" spans="2:52">
      <c r="B414" s="36"/>
      <c r="C414" s="36"/>
      <c r="D414" s="36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101"/>
      <c r="AD414" s="101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6"/>
      <c r="AY414" s="42"/>
      <c r="AZ414" s="42"/>
    </row>
    <row r="415" spans="2:52">
      <c r="B415" s="36"/>
      <c r="C415" s="36"/>
      <c r="D415" s="36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101"/>
      <c r="AD415" s="101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6"/>
      <c r="AY415" s="42"/>
      <c r="AZ415" s="42"/>
    </row>
    <row r="416" spans="2:52">
      <c r="B416" s="36"/>
      <c r="C416" s="36"/>
      <c r="D416" s="36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101"/>
      <c r="AD416" s="101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6"/>
      <c r="AY416" s="42"/>
      <c r="AZ416" s="42"/>
    </row>
    <row r="417" spans="2:52">
      <c r="B417" s="36"/>
      <c r="C417" s="36"/>
      <c r="D417" s="36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101"/>
      <c r="AD417" s="101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6"/>
      <c r="AY417" s="42"/>
      <c r="AZ417" s="42"/>
    </row>
    <row r="418" spans="2:52">
      <c r="B418" s="36"/>
      <c r="C418" s="36"/>
      <c r="D418" s="36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101"/>
      <c r="AD418" s="101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6"/>
      <c r="AY418" s="42"/>
      <c r="AZ418" s="42"/>
    </row>
    <row r="419" spans="2:52">
      <c r="B419" s="36"/>
      <c r="C419" s="36"/>
      <c r="D419" s="36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101"/>
      <c r="AD419" s="101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6"/>
      <c r="AY419" s="42"/>
      <c r="AZ419" s="42"/>
    </row>
    <row r="420" spans="2:52">
      <c r="B420" s="36"/>
      <c r="C420" s="36"/>
      <c r="D420" s="36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101"/>
      <c r="AD420" s="101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6"/>
      <c r="AY420" s="42"/>
      <c r="AZ420" s="42"/>
    </row>
    <row r="421" spans="2:52">
      <c r="B421" s="36"/>
      <c r="C421" s="36"/>
      <c r="D421" s="36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101"/>
      <c r="AD421" s="101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6"/>
      <c r="AY421" s="42"/>
      <c r="AZ421" s="42"/>
    </row>
    <row r="422" spans="2:52">
      <c r="B422" s="36"/>
      <c r="C422" s="36"/>
      <c r="D422" s="36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101"/>
      <c r="AD422" s="101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6"/>
      <c r="AY422" s="42"/>
      <c r="AZ422" s="42"/>
    </row>
    <row r="423" spans="2:52">
      <c r="B423" s="36"/>
      <c r="C423" s="36"/>
      <c r="D423" s="36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101"/>
      <c r="AD423" s="101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6"/>
      <c r="AY423" s="42"/>
      <c r="AZ423" s="42"/>
    </row>
    <row r="424" spans="2:52">
      <c r="B424" s="36"/>
      <c r="C424" s="36"/>
      <c r="D424" s="36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101"/>
      <c r="AD424" s="101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6"/>
      <c r="AY424" s="42"/>
      <c r="AZ424" s="42"/>
    </row>
    <row r="425" spans="2:52">
      <c r="B425" s="36"/>
      <c r="C425" s="36"/>
      <c r="D425" s="36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101"/>
      <c r="AD425" s="101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6"/>
      <c r="AY425" s="42"/>
      <c r="AZ425" s="42"/>
    </row>
    <row r="426" spans="2:52">
      <c r="B426" s="36"/>
      <c r="C426" s="36"/>
      <c r="D426" s="36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101"/>
      <c r="AD426" s="101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6"/>
      <c r="AY426" s="42"/>
      <c r="AZ426" s="42"/>
    </row>
    <row r="427" spans="2:52">
      <c r="B427" s="36"/>
      <c r="C427" s="36"/>
      <c r="D427" s="36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101"/>
      <c r="AD427" s="101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2"/>
      <c r="AX427" s="46"/>
      <c r="AY427" s="42"/>
      <c r="AZ427" s="42"/>
    </row>
    <row r="428" spans="2:52">
      <c r="B428" s="36"/>
      <c r="C428" s="36"/>
      <c r="D428" s="36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101"/>
      <c r="AD428" s="101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42"/>
      <c r="AS428" s="42"/>
      <c r="AT428" s="42"/>
      <c r="AU428" s="42"/>
      <c r="AV428" s="42"/>
      <c r="AW428" s="42"/>
      <c r="AX428" s="46"/>
      <c r="AY428" s="42"/>
      <c r="AZ428" s="42"/>
    </row>
    <row r="429" spans="2:52">
      <c r="B429" s="36"/>
      <c r="C429" s="36"/>
      <c r="D429" s="36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101"/>
      <c r="AD429" s="101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2"/>
      <c r="AX429" s="46"/>
      <c r="AY429" s="42"/>
      <c r="AZ429" s="42"/>
    </row>
    <row r="430" spans="2:52">
      <c r="B430" s="36"/>
      <c r="C430" s="36"/>
      <c r="D430" s="36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101"/>
      <c r="AD430" s="101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46"/>
      <c r="AY430" s="42"/>
      <c r="AZ430" s="42"/>
    </row>
    <row r="431" spans="2:52">
      <c r="B431" s="36"/>
      <c r="C431" s="36"/>
      <c r="D431" s="36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101"/>
      <c r="AD431" s="101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6"/>
      <c r="AY431" s="42"/>
      <c r="AZ431" s="42"/>
    </row>
    <row r="432" spans="2:52">
      <c r="B432" s="36"/>
      <c r="C432" s="36"/>
      <c r="D432" s="36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101"/>
      <c r="AD432" s="101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2"/>
      <c r="AX432" s="46"/>
      <c r="AY432" s="42"/>
      <c r="AZ432" s="42"/>
    </row>
    <row r="433" spans="2:52">
      <c r="B433" s="36"/>
      <c r="C433" s="36"/>
      <c r="D433" s="36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101"/>
      <c r="AD433" s="101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2"/>
      <c r="AX433" s="46"/>
      <c r="AY433" s="42"/>
      <c r="AZ433" s="42"/>
    </row>
    <row r="434" spans="2:52">
      <c r="B434" s="36"/>
      <c r="C434" s="36"/>
      <c r="D434" s="36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101"/>
      <c r="AD434" s="101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2"/>
      <c r="AX434" s="46"/>
      <c r="AY434" s="42"/>
      <c r="AZ434" s="42"/>
    </row>
    <row r="435" spans="2:52">
      <c r="B435" s="36"/>
      <c r="C435" s="36"/>
      <c r="D435" s="36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101"/>
      <c r="AD435" s="101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42"/>
      <c r="AS435" s="42"/>
      <c r="AT435" s="42"/>
      <c r="AU435" s="42"/>
      <c r="AV435" s="42"/>
      <c r="AW435" s="42"/>
      <c r="AX435" s="46"/>
      <c r="AY435" s="42"/>
      <c r="AZ435" s="42"/>
    </row>
    <row r="436" spans="2:52">
      <c r="B436" s="36"/>
      <c r="C436" s="36"/>
      <c r="D436" s="36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101"/>
      <c r="AD436" s="101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2"/>
      <c r="AX436" s="46"/>
      <c r="AY436" s="42"/>
      <c r="AZ436" s="42"/>
    </row>
    <row r="437" spans="2:52">
      <c r="B437" s="36"/>
      <c r="C437" s="36"/>
      <c r="D437" s="36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101"/>
      <c r="AD437" s="101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46"/>
      <c r="AY437" s="42"/>
      <c r="AZ437" s="42"/>
    </row>
    <row r="438" spans="2:52">
      <c r="B438" s="36"/>
      <c r="C438" s="36"/>
      <c r="D438" s="36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101"/>
      <c r="AD438" s="101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46"/>
      <c r="AY438" s="42"/>
      <c r="AZ438" s="42"/>
    </row>
    <row r="439" spans="2:52">
      <c r="B439" s="36"/>
      <c r="C439" s="36"/>
      <c r="D439" s="36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101"/>
      <c r="AD439" s="101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2"/>
      <c r="AX439" s="46"/>
      <c r="AY439" s="42"/>
      <c r="AZ439" s="42"/>
    </row>
    <row r="440" spans="2:52">
      <c r="B440" s="36"/>
      <c r="C440" s="36"/>
      <c r="D440" s="36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101"/>
      <c r="AD440" s="101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42"/>
      <c r="AS440" s="42"/>
      <c r="AT440" s="42"/>
      <c r="AU440" s="42"/>
      <c r="AV440" s="42"/>
      <c r="AW440" s="42"/>
      <c r="AX440" s="46"/>
      <c r="AY440" s="42"/>
      <c r="AZ440" s="42"/>
    </row>
    <row r="441" spans="2:52">
      <c r="B441" s="36"/>
      <c r="C441" s="36"/>
      <c r="D441" s="36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101"/>
      <c r="AD441" s="101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6"/>
      <c r="AY441" s="42"/>
      <c r="AZ441" s="42"/>
    </row>
    <row r="442" spans="2:52">
      <c r="B442" s="36"/>
      <c r="C442" s="36"/>
      <c r="D442" s="36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101"/>
      <c r="AD442" s="101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  <c r="AQ442" s="42"/>
      <c r="AR442" s="42"/>
      <c r="AS442" s="42"/>
      <c r="AT442" s="42"/>
      <c r="AU442" s="42"/>
      <c r="AV442" s="42"/>
      <c r="AW442" s="42"/>
      <c r="AX442" s="46"/>
      <c r="AY442" s="42"/>
      <c r="AZ442" s="42"/>
    </row>
    <row r="443" spans="2:52">
      <c r="B443" s="36"/>
      <c r="C443" s="36"/>
      <c r="D443" s="36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101"/>
      <c r="AD443" s="101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6"/>
      <c r="AY443" s="42"/>
      <c r="AZ443" s="42"/>
    </row>
    <row r="444" spans="2:52">
      <c r="B444" s="36"/>
      <c r="C444" s="36"/>
      <c r="D444" s="36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101"/>
      <c r="AD444" s="101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6"/>
      <c r="AY444" s="42"/>
      <c r="AZ444" s="42"/>
    </row>
    <row r="445" spans="2:52">
      <c r="B445" s="36"/>
      <c r="C445" s="36"/>
      <c r="D445" s="36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101"/>
      <c r="AD445" s="101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6"/>
      <c r="AY445" s="42"/>
      <c r="AZ445" s="42"/>
    </row>
    <row r="446" spans="2:52">
      <c r="B446" s="36"/>
      <c r="C446" s="36"/>
      <c r="D446" s="36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101"/>
      <c r="AD446" s="101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6"/>
      <c r="AY446" s="42"/>
      <c r="AZ446" s="42"/>
    </row>
    <row r="447" spans="2:52">
      <c r="B447" s="36"/>
      <c r="C447" s="36"/>
      <c r="D447" s="36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101"/>
      <c r="AD447" s="101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6"/>
      <c r="AY447" s="42"/>
      <c r="AZ447" s="42"/>
    </row>
    <row r="448" spans="2:52">
      <c r="B448" s="36"/>
      <c r="C448" s="36"/>
      <c r="D448" s="36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101"/>
      <c r="AD448" s="101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6"/>
      <c r="AY448" s="42"/>
      <c r="AZ448" s="42"/>
    </row>
    <row r="449" spans="2:52">
      <c r="B449" s="36"/>
      <c r="C449" s="36"/>
      <c r="D449" s="36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42"/>
      <c r="AC449" s="101"/>
      <c r="AD449" s="101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6"/>
      <c r="AY449" s="42"/>
      <c r="AZ449" s="42"/>
    </row>
    <row r="450" spans="2:52">
      <c r="B450" s="36"/>
      <c r="C450" s="36"/>
      <c r="D450" s="36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101"/>
      <c r="AD450" s="101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6"/>
      <c r="AY450" s="42"/>
      <c r="AZ450" s="42"/>
    </row>
    <row r="451" spans="2:52">
      <c r="B451" s="36"/>
      <c r="C451" s="36"/>
      <c r="D451" s="36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42"/>
      <c r="AC451" s="101"/>
      <c r="AD451" s="101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6"/>
      <c r="AY451" s="42"/>
      <c r="AZ451" s="42"/>
    </row>
    <row r="452" spans="2:52">
      <c r="B452" s="36"/>
      <c r="C452" s="36"/>
      <c r="D452" s="36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  <c r="AB452" s="42"/>
      <c r="AC452" s="101"/>
      <c r="AD452" s="101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6"/>
      <c r="AY452" s="42"/>
      <c r="AZ452" s="42"/>
    </row>
    <row r="453" spans="2:52">
      <c r="B453" s="36"/>
      <c r="C453" s="36"/>
      <c r="D453" s="36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101"/>
      <c r="AD453" s="101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6"/>
      <c r="AY453" s="42"/>
      <c r="AZ453" s="42"/>
    </row>
    <row r="454" spans="2:52">
      <c r="B454" s="36"/>
      <c r="C454" s="36"/>
      <c r="D454" s="36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42"/>
      <c r="AC454" s="101"/>
      <c r="AD454" s="101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6"/>
      <c r="AY454" s="42"/>
      <c r="AZ454" s="42"/>
    </row>
    <row r="455" spans="2:52">
      <c r="B455" s="36"/>
      <c r="C455" s="36"/>
      <c r="D455" s="36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101"/>
      <c r="AD455" s="101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6"/>
      <c r="AY455" s="42"/>
      <c r="AZ455" s="42"/>
    </row>
    <row r="456" spans="2:52">
      <c r="B456" s="36"/>
      <c r="C456" s="36"/>
      <c r="D456" s="36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101"/>
      <c r="AD456" s="101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6"/>
      <c r="AY456" s="42"/>
      <c r="AZ456" s="42"/>
    </row>
    <row r="457" spans="2:52">
      <c r="B457" s="36"/>
      <c r="C457" s="36"/>
      <c r="D457" s="36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101"/>
      <c r="AD457" s="101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6"/>
      <c r="AY457" s="42"/>
      <c r="AZ457" s="42"/>
    </row>
    <row r="458" spans="2:52">
      <c r="B458" s="36"/>
      <c r="C458" s="36"/>
      <c r="D458" s="36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101"/>
      <c r="AD458" s="101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6"/>
      <c r="AY458" s="42"/>
      <c r="AZ458" s="42"/>
    </row>
    <row r="459" spans="2:52">
      <c r="B459" s="36"/>
      <c r="C459" s="36"/>
      <c r="D459" s="36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101"/>
      <c r="AD459" s="101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6"/>
      <c r="AY459" s="42"/>
      <c r="AZ459" s="42"/>
    </row>
    <row r="460" spans="2:52">
      <c r="B460" s="36"/>
      <c r="C460" s="36"/>
      <c r="D460" s="36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101"/>
      <c r="AD460" s="101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6"/>
      <c r="AY460" s="42"/>
      <c r="AZ460" s="42"/>
    </row>
    <row r="461" spans="2:52">
      <c r="B461" s="36"/>
      <c r="C461" s="36"/>
      <c r="D461" s="36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101"/>
      <c r="AD461" s="101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6"/>
      <c r="AY461" s="42"/>
      <c r="AZ461" s="42"/>
    </row>
    <row r="462" spans="2:52">
      <c r="B462" s="36"/>
      <c r="C462" s="36"/>
      <c r="D462" s="36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101"/>
      <c r="AD462" s="101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6"/>
      <c r="AY462" s="42"/>
      <c r="AZ462" s="42"/>
    </row>
    <row r="463" spans="2:52">
      <c r="B463" s="36"/>
      <c r="C463" s="36"/>
      <c r="D463" s="36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42"/>
      <c r="AC463" s="101"/>
      <c r="AD463" s="101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AX463" s="46"/>
      <c r="AY463" s="42"/>
      <c r="AZ463" s="42"/>
    </row>
    <row r="464" spans="2:52">
      <c r="B464" s="36"/>
      <c r="C464" s="36"/>
      <c r="D464" s="36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101"/>
      <c r="AD464" s="101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/>
      <c r="AW464" s="42"/>
      <c r="AX464" s="46"/>
      <c r="AY464" s="42"/>
      <c r="AZ464" s="42"/>
    </row>
    <row r="465" spans="2:52">
      <c r="B465" s="36"/>
      <c r="C465" s="36"/>
      <c r="D465" s="36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42"/>
      <c r="AC465" s="101"/>
      <c r="AD465" s="101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2"/>
      <c r="AX465" s="46"/>
      <c r="AY465" s="42"/>
      <c r="AZ465" s="42"/>
    </row>
    <row r="466" spans="2:52">
      <c r="B466" s="36"/>
      <c r="C466" s="36"/>
      <c r="D466" s="36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42"/>
      <c r="AC466" s="101"/>
      <c r="AD466" s="101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  <c r="AQ466" s="42"/>
      <c r="AR466" s="42"/>
      <c r="AS466" s="42"/>
      <c r="AT466" s="42"/>
      <c r="AU466" s="42"/>
      <c r="AV466" s="42"/>
      <c r="AW466" s="42"/>
      <c r="AX466" s="46"/>
      <c r="AY466" s="42"/>
      <c r="AZ466" s="42"/>
    </row>
    <row r="467" spans="2:52">
      <c r="B467" s="36"/>
      <c r="C467" s="36"/>
      <c r="D467" s="36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101"/>
      <c r="AD467" s="101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2"/>
      <c r="AX467" s="46"/>
      <c r="AY467" s="42"/>
      <c r="AZ467" s="42"/>
    </row>
    <row r="468" spans="2:52">
      <c r="B468" s="36"/>
      <c r="C468" s="36"/>
      <c r="D468" s="36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101"/>
      <c r="AD468" s="101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  <c r="AQ468" s="42"/>
      <c r="AR468" s="42"/>
      <c r="AS468" s="42"/>
      <c r="AT468" s="42"/>
      <c r="AU468" s="42"/>
      <c r="AV468" s="42"/>
      <c r="AW468" s="42"/>
      <c r="AX468" s="46"/>
      <c r="AY468" s="42"/>
      <c r="AZ468" s="42"/>
    </row>
    <row r="469" spans="2:52">
      <c r="B469" s="36"/>
      <c r="C469" s="36"/>
      <c r="D469" s="36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101"/>
      <c r="AD469" s="101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42"/>
      <c r="AQ469" s="42"/>
      <c r="AR469" s="42"/>
      <c r="AS469" s="42"/>
      <c r="AT469" s="42"/>
      <c r="AU469" s="42"/>
      <c r="AV469" s="42"/>
      <c r="AW469" s="42"/>
      <c r="AX469" s="46"/>
      <c r="AY469" s="42"/>
      <c r="AZ469" s="42"/>
    </row>
    <row r="470" spans="2:52">
      <c r="B470" s="36"/>
      <c r="C470" s="36"/>
      <c r="D470" s="36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42"/>
      <c r="AC470" s="101"/>
      <c r="AD470" s="101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AX470" s="46"/>
      <c r="AY470" s="42"/>
      <c r="AZ470" s="42"/>
    </row>
    <row r="471" spans="2:52">
      <c r="B471" s="36"/>
      <c r="C471" s="36"/>
      <c r="D471" s="36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42"/>
      <c r="AC471" s="101"/>
      <c r="AD471" s="101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2"/>
      <c r="AQ471" s="42"/>
      <c r="AR471" s="42"/>
      <c r="AS471" s="42"/>
      <c r="AT471" s="42"/>
      <c r="AU471" s="42"/>
      <c r="AV471" s="42"/>
      <c r="AW471" s="42"/>
      <c r="AX471" s="46"/>
      <c r="AY471" s="42"/>
      <c r="AZ471" s="42"/>
    </row>
    <row r="472" spans="2:52">
      <c r="B472" s="36"/>
      <c r="C472" s="36"/>
      <c r="D472" s="36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42"/>
      <c r="AC472" s="101"/>
      <c r="AD472" s="101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2"/>
      <c r="AX472" s="46"/>
      <c r="AY472" s="42"/>
      <c r="AZ472" s="42"/>
    </row>
    <row r="473" spans="2:52">
      <c r="B473" s="36"/>
      <c r="C473" s="36"/>
      <c r="D473" s="36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101"/>
      <c r="AD473" s="101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6"/>
      <c r="AY473" s="42"/>
      <c r="AZ473" s="42"/>
    </row>
    <row r="474" spans="2:52">
      <c r="B474" s="36"/>
      <c r="C474" s="36"/>
      <c r="D474" s="36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101"/>
      <c r="AD474" s="101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  <c r="AQ474" s="42"/>
      <c r="AR474" s="42"/>
      <c r="AS474" s="42"/>
      <c r="AT474" s="42"/>
      <c r="AU474" s="42"/>
      <c r="AV474" s="42"/>
      <c r="AW474" s="42"/>
      <c r="AX474" s="46"/>
      <c r="AY474" s="42"/>
      <c r="AZ474" s="42"/>
    </row>
    <row r="475" spans="2:52">
      <c r="B475" s="36"/>
      <c r="C475" s="36"/>
      <c r="D475" s="36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101"/>
      <c r="AD475" s="101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2"/>
      <c r="AX475" s="46"/>
      <c r="AY475" s="42"/>
      <c r="AZ475" s="42"/>
    </row>
    <row r="476" spans="2:52">
      <c r="B476" s="36"/>
      <c r="C476" s="36"/>
      <c r="D476" s="36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101"/>
      <c r="AD476" s="101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46"/>
      <c r="AY476" s="42"/>
      <c r="AZ476" s="42"/>
    </row>
    <row r="477" spans="2:52">
      <c r="B477" s="36"/>
      <c r="C477" s="36"/>
      <c r="D477" s="36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101"/>
      <c r="AD477" s="101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42"/>
      <c r="AQ477" s="42"/>
      <c r="AR477" s="42"/>
      <c r="AS477" s="42"/>
      <c r="AT477" s="42"/>
      <c r="AU477" s="42"/>
      <c r="AV477" s="42"/>
      <c r="AW477" s="42"/>
      <c r="AX477" s="46"/>
      <c r="AY477" s="42"/>
      <c r="AZ477" s="42"/>
    </row>
    <row r="478" spans="2:52">
      <c r="B478" s="36"/>
      <c r="C478" s="36"/>
      <c r="D478" s="36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42"/>
      <c r="AC478" s="101"/>
      <c r="AD478" s="101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  <c r="AQ478" s="42"/>
      <c r="AR478" s="42"/>
      <c r="AS478" s="42"/>
      <c r="AT478" s="42"/>
      <c r="AU478" s="42"/>
      <c r="AV478" s="42"/>
      <c r="AW478" s="42"/>
      <c r="AX478" s="46"/>
      <c r="AY478" s="42"/>
      <c r="AZ478" s="42"/>
    </row>
    <row r="479" spans="2:52">
      <c r="B479" s="36"/>
      <c r="C479" s="36"/>
      <c r="D479" s="36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101"/>
      <c r="AD479" s="101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2"/>
      <c r="AQ479" s="42"/>
      <c r="AR479" s="42"/>
      <c r="AS479" s="42"/>
      <c r="AT479" s="42"/>
      <c r="AU479" s="42"/>
      <c r="AV479" s="42"/>
      <c r="AW479" s="42"/>
      <c r="AX479" s="46"/>
      <c r="AY479" s="42"/>
      <c r="AZ479" s="42"/>
    </row>
    <row r="480" spans="2:52">
      <c r="B480" s="36"/>
      <c r="C480" s="36"/>
      <c r="D480" s="36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101"/>
      <c r="AD480" s="101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46"/>
      <c r="AY480" s="42"/>
      <c r="AZ480" s="42"/>
    </row>
    <row r="481" spans="2:52">
      <c r="B481" s="36"/>
      <c r="C481" s="36"/>
      <c r="D481" s="36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101"/>
      <c r="AD481" s="101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46"/>
      <c r="AY481" s="42"/>
      <c r="AZ481" s="42"/>
    </row>
    <row r="482" spans="2:52">
      <c r="B482" s="36"/>
      <c r="C482" s="36"/>
      <c r="D482" s="36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101"/>
      <c r="AD482" s="101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6"/>
      <c r="AY482" s="42"/>
      <c r="AZ482" s="42"/>
    </row>
    <row r="483" spans="2:52">
      <c r="B483" s="36"/>
      <c r="C483" s="36"/>
      <c r="D483" s="36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42"/>
      <c r="AC483" s="101"/>
      <c r="AD483" s="101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2"/>
      <c r="AP483" s="42"/>
      <c r="AQ483" s="42"/>
      <c r="AR483" s="42"/>
      <c r="AS483" s="42"/>
      <c r="AT483" s="42"/>
      <c r="AU483" s="42"/>
      <c r="AV483" s="42"/>
      <c r="AW483" s="42"/>
      <c r="AX483" s="46"/>
      <c r="AY483" s="42"/>
      <c r="AZ483" s="42"/>
    </row>
    <row r="484" spans="2:52">
      <c r="B484" s="36"/>
      <c r="C484" s="36"/>
      <c r="D484" s="36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101"/>
      <c r="AD484" s="101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2"/>
      <c r="AX484" s="46"/>
      <c r="AY484" s="42"/>
      <c r="AZ484" s="42"/>
    </row>
    <row r="485" spans="2:52">
      <c r="B485" s="36"/>
      <c r="C485" s="36"/>
      <c r="D485" s="36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101"/>
      <c r="AD485" s="101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2"/>
      <c r="AX485" s="46"/>
      <c r="AY485" s="42"/>
      <c r="AZ485" s="42"/>
    </row>
    <row r="486" spans="2:52">
      <c r="B486" s="36"/>
      <c r="C486" s="36"/>
      <c r="D486" s="36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101"/>
      <c r="AD486" s="101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46"/>
      <c r="AY486" s="42"/>
      <c r="AZ486" s="42"/>
    </row>
    <row r="487" spans="2:52">
      <c r="B487" s="36"/>
      <c r="C487" s="36"/>
      <c r="D487" s="36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101"/>
      <c r="AD487" s="101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46"/>
      <c r="AY487" s="42"/>
      <c r="AZ487" s="42"/>
    </row>
    <row r="488" spans="2:52">
      <c r="B488" s="36"/>
      <c r="C488" s="36"/>
      <c r="D488" s="36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101"/>
      <c r="AD488" s="101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2"/>
      <c r="AX488" s="46"/>
      <c r="AY488" s="42"/>
      <c r="AZ488" s="42"/>
    </row>
    <row r="489" spans="2:52">
      <c r="B489" s="36"/>
      <c r="C489" s="36"/>
      <c r="D489" s="36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101"/>
      <c r="AD489" s="101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46"/>
      <c r="AY489" s="42"/>
      <c r="AZ489" s="42"/>
    </row>
    <row r="490" spans="2:52">
      <c r="B490" s="36"/>
      <c r="C490" s="36"/>
      <c r="D490" s="36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42"/>
      <c r="AC490" s="101"/>
      <c r="AD490" s="101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2"/>
      <c r="AX490" s="46"/>
      <c r="AY490" s="42"/>
      <c r="AZ490" s="42"/>
    </row>
    <row r="491" spans="2:52">
      <c r="B491" s="36"/>
      <c r="C491" s="36"/>
      <c r="D491" s="36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101"/>
      <c r="AD491" s="101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2"/>
      <c r="AX491" s="46"/>
      <c r="AY491" s="42"/>
      <c r="AZ491" s="42"/>
    </row>
    <row r="492" spans="2:52">
      <c r="B492" s="36"/>
      <c r="C492" s="36"/>
      <c r="D492" s="36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101"/>
      <c r="AD492" s="101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2"/>
      <c r="AX492" s="46"/>
      <c r="AY492" s="42"/>
      <c r="AZ492" s="42"/>
    </row>
    <row r="493" spans="2:52">
      <c r="B493" s="36"/>
      <c r="C493" s="36"/>
      <c r="D493" s="36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42"/>
      <c r="AC493" s="101"/>
      <c r="AD493" s="101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AX493" s="46"/>
      <c r="AY493" s="42"/>
      <c r="AZ493" s="42"/>
    </row>
    <row r="494" spans="2:52">
      <c r="B494" s="36"/>
      <c r="C494" s="36"/>
      <c r="D494" s="36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101"/>
      <c r="AD494" s="101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  <c r="AQ494" s="42"/>
      <c r="AR494" s="42"/>
      <c r="AS494" s="42"/>
      <c r="AT494" s="42"/>
      <c r="AU494" s="42"/>
      <c r="AV494" s="42"/>
      <c r="AW494" s="42"/>
      <c r="AX494" s="46"/>
      <c r="AY494" s="42"/>
      <c r="AZ494" s="42"/>
    </row>
    <row r="495" spans="2:52">
      <c r="B495" s="36"/>
      <c r="C495" s="36"/>
      <c r="D495" s="36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101"/>
      <c r="AD495" s="101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46"/>
      <c r="AY495" s="42"/>
      <c r="AZ495" s="42"/>
    </row>
    <row r="496" spans="2:52">
      <c r="B496" s="36"/>
      <c r="C496" s="36"/>
      <c r="D496" s="36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101"/>
      <c r="AD496" s="101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46"/>
      <c r="AY496" s="42"/>
      <c r="AZ496" s="42"/>
    </row>
    <row r="497" spans="2:52">
      <c r="B497" s="36"/>
      <c r="C497" s="36"/>
      <c r="D497" s="36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101"/>
      <c r="AD497" s="101"/>
      <c r="AE497" s="42"/>
      <c r="AF497" s="42"/>
      <c r="AG497" s="42"/>
      <c r="AH497" s="42"/>
      <c r="AI497" s="42"/>
      <c r="AJ497" s="42"/>
      <c r="AK497" s="42"/>
      <c r="AL497" s="42"/>
      <c r="AM497" s="42"/>
      <c r="AN497" s="42"/>
      <c r="AO497" s="42"/>
      <c r="AP497" s="42"/>
      <c r="AQ497" s="42"/>
      <c r="AR497" s="42"/>
      <c r="AS497" s="42"/>
      <c r="AT497" s="42"/>
      <c r="AU497" s="42"/>
      <c r="AV497" s="42"/>
      <c r="AW497" s="42"/>
      <c r="AX497" s="46"/>
      <c r="AY497" s="42"/>
      <c r="AZ497" s="42"/>
    </row>
    <row r="498" spans="2:52">
      <c r="B498" s="36"/>
      <c r="C498" s="36"/>
      <c r="D498" s="36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101"/>
      <c r="AD498" s="101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2"/>
      <c r="AX498" s="46"/>
      <c r="AY498" s="42"/>
      <c r="AZ498" s="42"/>
    </row>
    <row r="499" spans="2:52">
      <c r="B499" s="36"/>
      <c r="C499" s="36"/>
      <c r="D499" s="36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101"/>
      <c r="AD499" s="101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46"/>
      <c r="AY499" s="42"/>
      <c r="AZ499" s="42"/>
    </row>
    <row r="500" spans="2:52">
      <c r="B500" s="36"/>
      <c r="C500" s="36"/>
      <c r="D500" s="36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42"/>
      <c r="AC500" s="101"/>
      <c r="AD500" s="101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  <c r="AQ500" s="42"/>
      <c r="AR500" s="42"/>
      <c r="AS500" s="42"/>
      <c r="AT500" s="42"/>
      <c r="AU500" s="42"/>
      <c r="AV500" s="42"/>
      <c r="AW500" s="42"/>
      <c r="AX500" s="46"/>
      <c r="AY500" s="42"/>
      <c r="AZ500" s="42"/>
    </row>
    <row r="501" spans="2:52">
      <c r="B501" s="36"/>
      <c r="C501" s="36"/>
      <c r="D501" s="36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101"/>
      <c r="AD501" s="101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2"/>
      <c r="AQ501" s="42"/>
      <c r="AR501" s="42"/>
      <c r="AS501" s="42"/>
      <c r="AT501" s="42"/>
      <c r="AU501" s="42"/>
      <c r="AV501" s="42"/>
      <c r="AW501" s="42"/>
      <c r="AX501" s="46"/>
      <c r="AY501" s="42"/>
      <c r="AZ501" s="42"/>
    </row>
    <row r="502" spans="2:52">
      <c r="B502" s="36"/>
      <c r="C502" s="36"/>
      <c r="D502" s="36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101"/>
      <c r="AD502" s="101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  <c r="AQ502" s="42"/>
      <c r="AR502" s="42"/>
      <c r="AS502" s="42"/>
      <c r="AT502" s="42"/>
      <c r="AU502" s="42"/>
      <c r="AV502" s="42"/>
      <c r="AW502" s="42"/>
      <c r="AX502" s="46"/>
      <c r="AY502" s="42"/>
      <c r="AZ502" s="42"/>
    </row>
    <row r="503" spans="2:52">
      <c r="B503" s="36"/>
      <c r="C503" s="36"/>
      <c r="D503" s="36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101"/>
      <c r="AD503" s="101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2"/>
      <c r="AX503" s="46"/>
      <c r="AY503" s="42"/>
      <c r="AZ503" s="42"/>
    </row>
    <row r="504" spans="2:52">
      <c r="B504" s="36"/>
      <c r="C504" s="36"/>
      <c r="D504" s="36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101"/>
      <c r="AD504" s="101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  <c r="AQ504" s="42"/>
      <c r="AR504" s="42"/>
      <c r="AS504" s="42"/>
      <c r="AT504" s="42"/>
      <c r="AU504" s="42"/>
      <c r="AV504" s="42"/>
      <c r="AW504" s="42"/>
      <c r="AX504" s="46"/>
      <c r="AY504" s="42"/>
      <c r="AZ504" s="42"/>
    </row>
    <row r="505" spans="2:52">
      <c r="B505" s="36"/>
      <c r="C505" s="36"/>
      <c r="D505" s="36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101"/>
      <c r="AD505" s="101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2"/>
      <c r="AX505" s="46"/>
      <c r="AY505" s="42"/>
      <c r="AZ505" s="42"/>
    </row>
    <row r="506" spans="2:52">
      <c r="B506" s="36"/>
      <c r="C506" s="36"/>
      <c r="D506" s="36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42"/>
      <c r="AC506" s="101"/>
      <c r="AD506" s="101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6"/>
      <c r="AY506" s="42"/>
      <c r="AZ506" s="42"/>
    </row>
    <row r="507" spans="2:52">
      <c r="B507" s="36"/>
      <c r="C507" s="36"/>
      <c r="D507" s="36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101"/>
      <c r="AD507" s="101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6"/>
      <c r="AY507" s="42"/>
      <c r="AZ507" s="42"/>
    </row>
    <row r="508" spans="2:52">
      <c r="B508" s="36"/>
      <c r="C508" s="36"/>
      <c r="D508" s="36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101"/>
      <c r="AD508" s="101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6"/>
      <c r="AY508" s="42"/>
      <c r="AZ508" s="42"/>
    </row>
    <row r="509" spans="2:52">
      <c r="B509" s="36"/>
      <c r="C509" s="36"/>
      <c r="D509" s="36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42"/>
      <c r="AC509" s="101"/>
      <c r="AD509" s="101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6"/>
      <c r="AY509" s="42"/>
      <c r="AZ509" s="42"/>
    </row>
    <row r="510" spans="2:52">
      <c r="B510" s="36"/>
      <c r="C510" s="36"/>
      <c r="D510" s="36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101"/>
      <c r="AD510" s="101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6"/>
      <c r="AY510" s="42"/>
      <c r="AZ510" s="42"/>
    </row>
    <row r="511" spans="2:52">
      <c r="B511" s="36"/>
      <c r="C511" s="36"/>
      <c r="D511" s="36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101"/>
      <c r="AD511" s="101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6"/>
      <c r="AY511" s="42"/>
      <c r="AZ511" s="42"/>
    </row>
    <row r="512" spans="2:52">
      <c r="B512" s="36"/>
      <c r="C512" s="36"/>
      <c r="D512" s="36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101"/>
      <c r="AD512" s="101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6"/>
      <c r="AY512" s="42"/>
      <c r="AZ512" s="42"/>
    </row>
    <row r="513" spans="2:52">
      <c r="B513" s="36"/>
      <c r="C513" s="36"/>
      <c r="D513" s="36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101"/>
      <c r="AD513" s="101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6"/>
      <c r="AY513" s="42"/>
      <c r="AZ513" s="42"/>
    </row>
    <row r="514" spans="2:52">
      <c r="B514" s="36"/>
      <c r="C514" s="36"/>
      <c r="D514" s="36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101"/>
      <c r="AD514" s="101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6"/>
      <c r="AY514" s="42"/>
      <c r="AZ514" s="42"/>
    </row>
    <row r="515" spans="2:52">
      <c r="B515" s="36"/>
      <c r="C515" s="36"/>
      <c r="D515" s="36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101"/>
      <c r="AD515" s="101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6"/>
      <c r="AY515" s="42"/>
      <c r="AZ515" s="42"/>
    </row>
    <row r="516" spans="2:52">
      <c r="B516" s="36"/>
      <c r="C516" s="36"/>
      <c r="D516" s="36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101"/>
      <c r="AD516" s="101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6"/>
      <c r="AY516" s="42"/>
      <c r="AZ516" s="42"/>
    </row>
    <row r="517" spans="2:52">
      <c r="B517" s="36"/>
      <c r="C517" s="36"/>
      <c r="D517" s="36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101"/>
      <c r="AD517" s="101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6"/>
      <c r="AY517" s="42"/>
      <c r="AZ517" s="42"/>
    </row>
    <row r="518" spans="2:52">
      <c r="E518" s="42"/>
      <c r="F518" s="42"/>
      <c r="G518" s="42"/>
      <c r="H518" s="42"/>
      <c r="I518" s="42"/>
    </row>
    <row r="519" spans="2:52">
      <c r="E519" s="42"/>
    </row>
  </sheetData>
  <dataConsolidate/>
  <phoneticPr fontId="18" type="noConversion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9"/>
  <sheetViews>
    <sheetView workbookViewId="0">
      <selection activeCell="F12" sqref="F12"/>
    </sheetView>
  </sheetViews>
  <sheetFormatPr defaultColWidth="8.796875" defaultRowHeight="17.399999999999999"/>
  <cols>
    <col min="2" max="4" width="20" customWidth="1"/>
  </cols>
  <sheetData>
    <row r="1" spans="1:6">
      <c r="A1" s="2" t="s">
        <v>18</v>
      </c>
      <c r="B1" s="2" t="s">
        <v>1</v>
      </c>
      <c r="C1" s="2" t="s">
        <v>47</v>
      </c>
      <c r="D1" s="2" t="s">
        <v>22</v>
      </c>
      <c r="E1" s="2" t="s">
        <v>48</v>
      </c>
      <c r="F1" s="2" t="s">
        <v>49</v>
      </c>
    </row>
    <row r="2" spans="1:6">
      <c r="A2" t="s">
        <v>50</v>
      </c>
      <c r="B2" t="s">
        <v>890</v>
      </c>
      <c r="C2">
        <v>1</v>
      </c>
      <c r="D2" t="s">
        <v>891</v>
      </c>
      <c r="F2">
        <v>1</v>
      </c>
    </row>
    <row r="3" spans="1:6">
      <c r="A3" t="s">
        <v>50</v>
      </c>
      <c r="B3" t="s">
        <v>890</v>
      </c>
      <c r="C3">
        <v>2</v>
      </c>
      <c r="D3" t="s">
        <v>892</v>
      </c>
      <c r="F3">
        <v>3</v>
      </c>
    </row>
    <row r="4" spans="1:6">
      <c r="A4" t="s">
        <v>50</v>
      </c>
      <c r="B4" t="s">
        <v>890</v>
      </c>
      <c r="C4">
        <v>3</v>
      </c>
      <c r="D4" t="s">
        <v>893</v>
      </c>
      <c r="F4">
        <v>6</v>
      </c>
    </row>
    <row r="5" spans="1:6">
      <c r="A5" t="s">
        <v>50</v>
      </c>
      <c r="B5" t="s">
        <v>890</v>
      </c>
      <c r="C5">
        <v>4</v>
      </c>
      <c r="D5" t="s">
        <v>894</v>
      </c>
      <c r="F5">
        <v>8</v>
      </c>
    </row>
    <row r="6" spans="1:6">
      <c r="A6" t="s">
        <v>50</v>
      </c>
      <c r="B6" t="s">
        <v>890</v>
      </c>
      <c r="C6">
        <v>5</v>
      </c>
      <c r="D6" t="s">
        <v>895</v>
      </c>
      <c r="F6">
        <v>10</v>
      </c>
    </row>
    <row r="7" spans="1:6">
      <c r="A7" t="s">
        <v>50</v>
      </c>
      <c r="B7" t="s">
        <v>890</v>
      </c>
      <c r="C7">
        <v>6</v>
      </c>
      <c r="F7">
        <v>12</v>
      </c>
    </row>
    <row r="8" spans="1:6">
      <c r="A8" t="s">
        <v>50</v>
      </c>
      <c r="B8" t="s">
        <v>890</v>
      </c>
      <c r="C8">
        <v>7</v>
      </c>
      <c r="F8">
        <v>13</v>
      </c>
    </row>
    <row r="9" spans="1:6">
      <c r="A9" t="s">
        <v>50</v>
      </c>
      <c r="B9" t="s">
        <v>890</v>
      </c>
      <c r="C9">
        <v>8</v>
      </c>
      <c r="D9" t="s">
        <v>896</v>
      </c>
      <c r="F9">
        <v>14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86646-D9B7-4A55-93EE-4BFB8756C2A7}">
  <sheetPr>
    <tabColor theme="7" tint="0.39997558519241921"/>
  </sheetPr>
  <dimension ref="A1:Y40"/>
  <sheetViews>
    <sheetView topLeftCell="D15" zoomScale="85" zoomScaleNormal="85" workbookViewId="0">
      <selection activeCell="V21" sqref="V21"/>
    </sheetView>
  </sheetViews>
  <sheetFormatPr defaultRowHeight="17.399999999999999"/>
  <cols>
    <col min="8" max="8" width="27.8984375" customWidth="1"/>
  </cols>
  <sheetData>
    <row r="1" spans="1:25">
      <c r="A1" t="s">
        <v>0</v>
      </c>
      <c r="B1" t="s">
        <v>791</v>
      </c>
      <c r="C1" t="s">
        <v>792</v>
      </c>
      <c r="D1" t="s">
        <v>793</v>
      </c>
      <c r="E1" t="s">
        <v>794</v>
      </c>
      <c r="F1" t="s">
        <v>795</v>
      </c>
      <c r="G1" t="s">
        <v>796</v>
      </c>
      <c r="H1" t="s">
        <v>797</v>
      </c>
      <c r="I1" t="s">
        <v>1</v>
      </c>
      <c r="J1" t="s">
        <v>798</v>
      </c>
      <c r="K1" t="s">
        <v>799</v>
      </c>
      <c r="L1" t="s">
        <v>800</v>
      </c>
      <c r="M1" t="s">
        <v>801</v>
      </c>
      <c r="N1" t="s">
        <v>802</v>
      </c>
      <c r="O1" t="s">
        <v>803</v>
      </c>
      <c r="P1" t="s">
        <v>804</v>
      </c>
      <c r="Q1" t="s">
        <v>805</v>
      </c>
      <c r="R1" t="s">
        <v>806</v>
      </c>
      <c r="S1" t="s">
        <v>807</v>
      </c>
      <c r="T1" t="s">
        <v>883</v>
      </c>
      <c r="U1" t="s">
        <v>885</v>
      </c>
      <c r="V1" t="s">
        <v>842</v>
      </c>
      <c r="W1" t="s">
        <v>843</v>
      </c>
      <c r="X1" t="s">
        <v>844</v>
      </c>
      <c r="Y1" t="s">
        <v>845</v>
      </c>
    </row>
    <row r="2" spans="1:25">
      <c r="A2">
        <v>1</v>
      </c>
      <c r="B2" t="s">
        <v>43</v>
      </c>
      <c r="C2" t="s">
        <v>808</v>
      </c>
      <c r="D2" t="s">
        <v>809</v>
      </c>
      <c r="E2" t="s">
        <v>43</v>
      </c>
      <c r="F2" t="s">
        <v>43</v>
      </c>
      <c r="G2" t="s">
        <v>846</v>
      </c>
      <c r="H2" t="s">
        <v>810</v>
      </c>
      <c r="I2">
        <v>0</v>
      </c>
      <c r="K2" t="s">
        <v>43</v>
      </c>
      <c r="L2" t="s">
        <v>43</v>
      </c>
      <c r="N2" t="s">
        <v>43</v>
      </c>
      <c r="O2" t="s">
        <v>811</v>
      </c>
      <c r="P2" t="s">
        <v>43</v>
      </c>
      <c r="Q2" t="s">
        <v>43</v>
      </c>
      <c r="R2" t="s">
        <v>812</v>
      </c>
      <c r="S2" t="s">
        <v>43</v>
      </c>
      <c r="T2" t="s">
        <v>43</v>
      </c>
      <c r="V2" t="s">
        <v>847</v>
      </c>
      <c r="X2" t="s">
        <v>43</v>
      </c>
    </row>
    <row r="3" spans="1:25">
      <c r="A3">
        <v>2</v>
      </c>
      <c r="B3" t="s">
        <v>43</v>
      </c>
      <c r="C3" t="s">
        <v>43</v>
      </c>
      <c r="D3" t="s">
        <v>43</v>
      </c>
      <c r="E3" t="s">
        <v>43</v>
      </c>
      <c r="F3" t="s">
        <v>43</v>
      </c>
      <c r="G3" t="s">
        <v>846</v>
      </c>
      <c r="H3" t="s">
        <v>813</v>
      </c>
      <c r="I3">
        <v>1</v>
      </c>
      <c r="J3">
        <v>1</v>
      </c>
      <c r="K3" t="s">
        <v>814</v>
      </c>
      <c r="L3" t="s">
        <v>43</v>
      </c>
      <c r="N3" t="s">
        <v>43</v>
      </c>
      <c r="O3" t="s">
        <v>43</v>
      </c>
      <c r="P3" t="s">
        <v>43</v>
      </c>
      <c r="Q3" t="s">
        <v>43</v>
      </c>
      <c r="R3" t="s">
        <v>815</v>
      </c>
      <c r="S3" t="s">
        <v>43</v>
      </c>
      <c r="T3" t="s">
        <v>43</v>
      </c>
      <c r="V3" t="s">
        <v>847</v>
      </c>
      <c r="X3" t="s">
        <v>43</v>
      </c>
    </row>
    <row r="4" spans="1:25">
      <c r="A4">
        <v>3</v>
      </c>
      <c r="B4" t="s">
        <v>43</v>
      </c>
      <c r="C4" t="s">
        <v>43</v>
      </c>
      <c r="D4" t="s">
        <v>43</v>
      </c>
      <c r="E4" t="s">
        <v>43</v>
      </c>
      <c r="F4" t="s">
        <v>43</v>
      </c>
      <c r="G4" t="s">
        <v>846</v>
      </c>
      <c r="H4" t="s">
        <v>816</v>
      </c>
      <c r="I4">
        <v>3</v>
      </c>
      <c r="K4" t="s">
        <v>814</v>
      </c>
      <c r="L4" t="s">
        <v>43</v>
      </c>
      <c r="N4" t="s">
        <v>43</v>
      </c>
      <c r="O4" t="s">
        <v>811</v>
      </c>
      <c r="P4" t="s">
        <v>43</v>
      </c>
      <c r="Q4" t="s">
        <v>43</v>
      </c>
      <c r="R4" t="s">
        <v>817</v>
      </c>
      <c r="S4" t="s">
        <v>43</v>
      </c>
      <c r="T4" t="s">
        <v>43</v>
      </c>
      <c r="V4" t="s">
        <v>847</v>
      </c>
      <c r="X4" t="s">
        <v>43</v>
      </c>
    </row>
    <row r="5" spans="1:25">
      <c r="A5">
        <v>4</v>
      </c>
      <c r="B5" t="s">
        <v>43</v>
      </c>
      <c r="C5" t="s">
        <v>43</v>
      </c>
      <c r="D5" t="s">
        <v>43</v>
      </c>
      <c r="E5" t="s">
        <v>43</v>
      </c>
      <c r="F5" t="s">
        <v>43</v>
      </c>
      <c r="G5" t="s">
        <v>846</v>
      </c>
      <c r="H5" t="s">
        <v>818</v>
      </c>
      <c r="I5">
        <v>3</v>
      </c>
      <c r="K5" t="s">
        <v>814</v>
      </c>
      <c r="L5" t="s">
        <v>43</v>
      </c>
      <c r="N5" t="s">
        <v>43</v>
      </c>
      <c r="O5" t="s">
        <v>811</v>
      </c>
      <c r="P5" t="s">
        <v>43</v>
      </c>
      <c r="Q5" t="s">
        <v>43</v>
      </c>
      <c r="R5" t="s">
        <v>819</v>
      </c>
      <c r="S5" t="s">
        <v>43</v>
      </c>
      <c r="T5" t="s">
        <v>43</v>
      </c>
      <c r="V5" t="s">
        <v>847</v>
      </c>
      <c r="X5" t="s">
        <v>43</v>
      </c>
    </row>
    <row r="6" spans="1:25">
      <c r="A6">
        <v>5</v>
      </c>
      <c r="B6" t="s">
        <v>43</v>
      </c>
      <c r="C6" t="s">
        <v>43</v>
      </c>
      <c r="D6" t="s">
        <v>43</v>
      </c>
      <c r="E6" t="s">
        <v>43</v>
      </c>
      <c r="F6" t="s">
        <v>43</v>
      </c>
      <c r="G6" t="s">
        <v>846</v>
      </c>
      <c r="H6" t="s">
        <v>820</v>
      </c>
      <c r="I6">
        <v>3</v>
      </c>
      <c r="K6" t="s">
        <v>814</v>
      </c>
      <c r="L6" t="s">
        <v>43</v>
      </c>
      <c r="N6" t="s">
        <v>43</v>
      </c>
      <c r="O6" t="s">
        <v>811</v>
      </c>
      <c r="P6" t="s">
        <v>43</v>
      </c>
      <c r="Q6" t="s">
        <v>43</v>
      </c>
      <c r="R6" t="s">
        <v>821</v>
      </c>
      <c r="S6" t="s">
        <v>43</v>
      </c>
      <c r="T6" t="s">
        <v>43</v>
      </c>
      <c r="V6" t="s">
        <v>847</v>
      </c>
      <c r="X6" t="s">
        <v>43</v>
      </c>
    </row>
    <row r="7" spans="1:25">
      <c r="A7">
        <v>6</v>
      </c>
      <c r="B7" t="s">
        <v>43</v>
      </c>
      <c r="C7" t="s">
        <v>43</v>
      </c>
      <c r="D7" t="s">
        <v>43</v>
      </c>
      <c r="E7" t="s">
        <v>43</v>
      </c>
      <c r="F7" t="s">
        <v>43</v>
      </c>
      <c r="G7" t="s">
        <v>846</v>
      </c>
      <c r="H7" t="s">
        <v>822</v>
      </c>
      <c r="I7">
        <v>3</v>
      </c>
      <c r="K7" t="s">
        <v>814</v>
      </c>
      <c r="L7" t="s">
        <v>43</v>
      </c>
      <c r="N7" t="s">
        <v>43</v>
      </c>
      <c r="O7" t="s">
        <v>811</v>
      </c>
      <c r="P7" t="s">
        <v>43</v>
      </c>
      <c r="Q7" t="s">
        <v>43</v>
      </c>
      <c r="R7" t="s">
        <v>823</v>
      </c>
      <c r="S7" t="s">
        <v>43</v>
      </c>
      <c r="T7" t="s">
        <v>43</v>
      </c>
      <c r="V7" t="s">
        <v>847</v>
      </c>
      <c r="X7" t="s">
        <v>43</v>
      </c>
    </row>
    <row r="8" spans="1:25">
      <c r="A8">
        <v>7</v>
      </c>
      <c r="B8" t="s">
        <v>43</v>
      </c>
      <c r="C8" t="s">
        <v>43</v>
      </c>
      <c r="D8" t="s">
        <v>43</v>
      </c>
      <c r="E8" t="s">
        <v>43</v>
      </c>
      <c r="F8" t="s">
        <v>43</v>
      </c>
      <c r="G8" t="s">
        <v>846</v>
      </c>
      <c r="H8" t="s">
        <v>824</v>
      </c>
      <c r="I8">
        <v>3</v>
      </c>
      <c r="K8" t="s">
        <v>814</v>
      </c>
      <c r="L8" t="s">
        <v>43</v>
      </c>
      <c r="N8" t="s">
        <v>43</v>
      </c>
      <c r="O8" t="s">
        <v>811</v>
      </c>
      <c r="P8" t="s">
        <v>43</v>
      </c>
      <c r="Q8" t="s">
        <v>43</v>
      </c>
      <c r="R8" t="s">
        <v>825</v>
      </c>
      <c r="S8" t="s">
        <v>43</v>
      </c>
      <c r="T8" t="s">
        <v>43</v>
      </c>
      <c r="V8" t="s">
        <v>847</v>
      </c>
      <c r="X8" t="s">
        <v>43</v>
      </c>
    </row>
    <row r="9" spans="1:25">
      <c r="A9">
        <v>8</v>
      </c>
      <c r="B9" t="s">
        <v>43</v>
      </c>
      <c r="C9" t="s">
        <v>43</v>
      </c>
      <c r="D9" t="s">
        <v>43</v>
      </c>
      <c r="E9" t="s">
        <v>43</v>
      </c>
      <c r="F9" t="s">
        <v>43</v>
      </c>
      <c r="G9" t="s">
        <v>846</v>
      </c>
      <c r="H9" t="s">
        <v>826</v>
      </c>
      <c r="I9">
        <v>2</v>
      </c>
      <c r="J9">
        <v>2</v>
      </c>
      <c r="K9" t="s">
        <v>43</v>
      </c>
      <c r="L9" t="s">
        <v>43</v>
      </c>
      <c r="N9" t="s">
        <v>43</v>
      </c>
      <c r="O9" t="s">
        <v>811</v>
      </c>
      <c r="P9" t="s">
        <v>827</v>
      </c>
      <c r="Q9" t="s">
        <v>43</v>
      </c>
      <c r="R9" t="s">
        <v>828</v>
      </c>
      <c r="S9" t="s">
        <v>43</v>
      </c>
      <c r="T9" t="s">
        <v>43</v>
      </c>
      <c r="V9" t="s">
        <v>847</v>
      </c>
      <c r="X9" t="s">
        <v>43</v>
      </c>
    </row>
    <row r="10" spans="1:25">
      <c r="A10">
        <v>9</v>
      </c>
      <c r="B10" t="s">
        <v>43</v>
      </c>
      <c r="C10" t="s">
        <v>43</v>
      </c>
      <c r="D10" t="s">
        <v>43</v>
      </c>
      <c r="E10" t="s">
        <v>43</v>
      </c>
      <c r="F10" t="s">
        <v>43</v>
      </c>
      <c r="G10" t="s">
        <v>846</v>
      </c>
      <c r="H10" t="s">
        <v>829</v>
      </c>
      <c r="I10">
        <v>2</v>
      </c>
      <c r="J10">
        <v>3</v>
      </c>
      <c r="K10" t="s">
        <v>43</v>
      </c>
      <c r="L10" t="s">
        <v>43</v>
      </c>
      <c r="N10" t="s">
        <v>43</v>
      </c>
      <c r="O10" t="s">
        <v>811</v>
      </c>
      <c r="P10" t="s">
        <v>830</v>
      </c>
      <c r="Q10" t="s">
        <v>43</v>
      </c>
      <c r="R10" t="s">
        <v>831</v>
      </c>
      <c r="S10" t="s">
        <v>43</v>
      </c>
      <c r="T10" t="s">
        <v>43</v>
      </c>
      <c r="V10" t="s">
        <v>847</v>
      </c>
      <c r="X10" t="s">
        <v>43</v>
      </c>
    </row>
    <row r="11" spans="1:25">
      <c r="A11">
        <v>10</v>
      </c>
      <c r="B11" t="s">
        <v>43</v>
      </c>
      <c r="C11" t="s">
        <v>808</v>
      </c>
      <c r="D11" t="s">
        <v>809</v>
      </c>
      <c r="E11" t="s">
        <v>43</v>
      </c>
      <c r="F11" t="s">
        <v>43</v>
      </c>
      <c r="G11" t="s">
        <v>832</v>
      </c>
      <c r="H11" t="s">
        <v>833</v>
      </c>
      <c r="I11">
        <v>0</v>
      </c>
      <c r="K11" t="s">
        <v>43</v>
      </c>
      <c r="L11" t="s">
        <v>43</v>
      </c>
      <c r="N11" t="s">
        <v>43</v>
      </c>
      <c r="O11" t="s">
        <v>811</v>
      </c>
      <c r="P11" t="s">
        <v>43</v>
      </c>
      <c r="Q11" t="s">
        <v>43</v>
      </c>
      <c r="R11" t="s">
        <v>834</v>
      </c>
      <c r="S11" t="s">
        <v>43</v>
      </c>
      <c r="T11" t="s">
        <v>43</v>
      </c>
      <c r="V11" t="s">
        <v>847</v>
      </c>
      <c r="X11" t="s">
        <v>43</v>
      </c>
    </row>
    <row r="12" spans="1:25">
      <c r="A12">
        <v>11</v>
      </c>
      <c r="B12" t="s">
        <v>43</v>
      </c>
      <c r="C12" t="s">
        <v>43</v>
      </c>
      <c r="D12" t="s">
        <v>43</v>
      </c>
      <c r="E12" t="s">
        <v>43</v>
      </c>
      <c r="F12" t="s">
        <v>43</v>
      </c>
      <c r="G12" t="s">
        <v>832</v>
      </c>
      <c r="H12" t="s">
        <v>835</v>
      </c>
      <c r="I12">
        <v>2</v>
      </c>
      <c r="J12">
        <v>5</v>
      </c>
      <c r="K12" t="s">
        <v>43</v>
      </c>
      <c r="L12" t="s">
        <v>43</v>
      </c>
      <c r="N12" t="s">
        <v>43</v>
      </c>
      <c r="O12" t="s">
        <v>811</v>
      </c>
      <c r="P12" t="s">
        <v>836</v>
      </c>
      <c r="Q12" t="s">
        <v>43</v>
      </c>
      <c r="R12" t="s">
        <v>837</v>
      </c>
      <c r="S12" t="s">
        <v>43</v>
      </c>
      <c r="T12" t="s">
        <v>43</v>
      </c>
      <c r="V12" t="s">
        <v>847</v>
      </c>
      <c r="X12" t="s">
        <v>43</v>
      </c>
    </row>
    <row r="13" spans="1:25">
      <c r="A13">
        <v>12</v>
      </c>
      <c r="B13" t="s">
        <v>43</v>
      </c>
      <c r="C13" t="s">
        <v>43</v>
      </c>
      <c r="D13" t="s">
        <v>43</v>
      </c>
      <c r="E13" t="s">
        <v>43</v>
      </c>
      <c r="F13" t="s">
        <v>43</v>
      </c>
      <c r="G13" t="s">
        <v>832</v>
      </c>
      <c r="H13" t="s">
        <v>838</v>
      </c>
      <c r="I13">
        <v>2</v>
      </c>
      <c r="J13">
        <v>6</v>
      </c>
      <c r="K13" t="s">
        <v>43</v>
      </c>
      <c r="L13" t="s">
        <v>43</v>
      </c>
      <c r="N13" t="s">
        <v>43</v>
      </c>
      <c r="O13" t="s">
        <v>811</v>
      </c>
      <c r="P13" t="s">
        <v>827</v>
      </c>
      <c r="Q13" t="s">
        <v>43</v>
      </c>
      <c r="R13" t="s">
        <v>839</v>
      </c>
      <c r="S13" t="s">
        <v>43</v>
      </c>
      <c r="T13" t="s">
        <v>43</v>
      </c>
      <c r="V13" t="s">
        <v>847</v>
      </c>
      <c r="X13" t="s">
        <v>43</v>
      </c>
    </row>
    <row r="14" spans="1:25">
      <c r="A14">
        <v>13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  <c r="G14" t="s">
        <v>832</v>
      </c>
      <c r="H14" t="s">
        <v>840</v>
      </c>
      <c r="I14">
        <v>2</v>
      </c>
      <c r="J14">
        <v>7</v>
      </c>
      <c r="K14" t="s">
        <v>43</v>
      </c>
      <c r="L14" t="s">
        <v>43</v>
      </c>
      <c r="N14" t="s">
        <v>43</v>
      </c>
      <c r="O14" t="s">
        <v>811</v>
      </c>
      <c r="P14" t="s">
        <v>830</v>
      </c>
      <c r="Q14" t="s">
        <v>43</v>
      </c>
      <c r="R14" t="s">
        <v>841</v>
      </c>
      <c r="S14" t="s">
        <v>43</v>
      </c>
      <c r="T14" t="s">
        <v>43</v>
      </c>
      <c r="V14" t="s">
        <v>847</v>
      </c>
      <c r="X14" t="s">
        <v>43</v>
      </c>
    </row>
    <row r="15" spans="1:25">
      <c r="A15">
        <v>14</v>
      </c>
      <c r="B15" t="s">
        <v>43</v>
      </c>
      <c r="C15" t="s">
        <v>808</v>
      </c>
      <c r="D15" t="s">
        <v>809</v>
      </c>
      <c r="E15" t="s">
        <v>43</v>
      </c>
      <c r="F15" t="s">
        <v>43</v>
      </c>
      <c r="G15" t="s">
        <v>848</v>
      </c>
      <c r="H15" t="s">
        <v>849</v>
      </c>
      <c r="I15">
        <v>0</v>
      </c>
      <c r="K15" t="s">
        <v>43</v>
      </c>
      <c r="L15" t="s">
        <v>43</v>
      </c>
      <c r="N15" t="s">
        <v>43</v>
      </c>
      <c r="O15" t="s">
        <v>811</v>
      </c>
      <c r="P15" t="s">
        <v>43</v>
      </c>
      <c r="Q15" t="s">
        <v>43</v>
      </c>
      <c r="R15" t="s">
        <v>850</v>
      </c>
      <c r="S15" t="s">
        <v>43</v>
      </c>
      <c r="T15" t="s">
        <v>43</v>
      </c>
      <c r="V15" t="s">
        <v>847</v>
      </c>
      <c r="X15" t="s">
        <v>43</v>
      </c>
    </row>
    <row r="16" spans="1:25">
      <c r="A16">
        <v>15</v>
      </c>
      <c r="B16" t="s">
        <v>43</v>
      </c>
      <c r="C16" t="s">
        <v>808</v>
      </c>
      <c r="D16" t="s">
        <v>809</v>
      </c>
      <c r="E16" t="s">
        <v>43</v>
      </c>
      <c r="F16" t="s">
        <v>43</v>
      </c>
      <c r="G16" t="s">
        <v>851</v>
      </c>
      <c r="H16" t="s">
        <v>852</v>
      </c>
      <c r="I16">
        <v>0</v>
      </c>
      <c r="K16" t="s">
        <v>43</v>
      </c>
      <c r="L16" t="s">
        <v>43</v>
      </c>
      <c r="N16" t="s">
        <v>43</v>
      </c>
      <c r="O16" t="s">
        <v>811</v>
      </c>
      <c r="P16" t="s">
        <v>43</v>
      </c>
      <c r="Q16" t="s">
        <v>43</v>
      </c>
      <c r="R16" t="s">
        <v>853</v>
      </c>
      <c r="S16" t="s">
        <v>43</v>
      </c>
      <c r="T16" t="s">
        <v>43</v>
      </c>
      <c r="V16" t="s">
        <v>847</v>
      </c>
      <c r="X16" t="s">
        <v>43</v>
      </c>
    </row>
    <row r="17" spans="1:24">
      <c r="A17">
        <v>16</v>
      </c>
      <c r="B17" t="s">
        <v>43</v>
      </c>
      <c r="C17" t="s">
        <v>808</v>
      </c>
      <c r="D17" t="s">
        <v>809</v>
      </c>
      <c r="E17" t="s">
        <v>43</v>
      </c>
      <c r="F17" t="s">
        <v>43</v>
      </c>
      <c r="G17" t="s">
        <v>854</v>
      </c>
      <c r="H17" t="s">
        <v>855</v>
      </c>
      <c r="I17">
        <v>0</v>
      </c>
      <c r="K17" t="s">
        <v>43</v>
      </c>
      <c r="L17" t="s">
        <v>43</v>
      </c>
      <c r="N17" t="s">
        <v>43</v>
      </c>
      <c r="O17" t="s">
        <v>811</v>
      </c>
      <c r="P17" t="s">
        <v>43</v>
      </c>
      <c r="Q17" t="s">
        <v>43</v>
      </c>
      <c r="R17" t="s">
        <v>856</v>
      </c>
      <c r="S17" t="s">
        <v>43</v>
      </c>
      <c r="T17" t="s">
        <v>43</v>
      </c>
      <c r="V17" t="s">
        <v>847</v>
      </c>
      <c r="X17" t="s">
        <v>43</v>
      </c>
    </row>
    <row r="18" spans="1:24">
      <c r="A18">
        <v>17</v>
      </c>
      <c r="B18" t="s">
        <v>43</v>
      </c>
      <c r="C18" t="s">
        <v>808</v>
      </c>
      <c r="D18" t="s">
        <v>809</v>
      </c>
      <c r="E18" t="s">
        <v>43</v>
      </c>
      <c r="F18" t="s">
        <v>43</v>
      </c>
      <c r="G18" t="s">
        <v>848</v>
      </c>
      <c r="H18" t="s">
        <v>857</v>
      </c>
      <c r="I18">
        <v>2</v>
      </c>
      <c r="K18" t="s">
        <v>43</v>
      </c>
      <c r="L18" t="s">
        <v>43</v>
      </c>
      <c r="N18" t="s">
        <v>43</v>
      </c>
      <c r="O18" t="s">
        <v>811</v>
      </c>
      <c r="P18" t="s">
        <v>43</v>
      </c>
      <c r="Q18" t="s">
        <v>43</v>
      </c>
      <c r="R18" t="s">
        <v>858</v>
      </c>
      <c r="S18" t="s">
        <v>43</v>
      </c>
      <c r="T18" t="s">
        <v>43</v>
      </c>
      <c r="V18" t="s">
        <v>847</v>
      </c>
      <c r="X18" t="s">
        <v>43</v>
      </c>
    </row>
    <row r="19" spans="1:24">
      <c r="A19">
        <v>18</v>
      </c>
      <c r="B19" t="s">
        <v>43</v>
      </c>
      <c r="C19" t="s">
        <v>808</v>
      </c>
      <c r="D19" t="s">
        <v>809</v>
      </c>
      <c r="E19" t="s">
        <v>43</v>
      </c>
      <c r="F19" t="s">
        <v>43</v>
      </c>
      <c r="G19" t="s">
        <v>851</v>
      </c>
      <c r="H19" t="s">
        <v>859</v>
      </c>
      <c r="I19">
        <v>2</v>
      </c>
      <c r="K19" t="s">
        <v>43</v>
      </c>
      <c r="L19" t="s">
        <v>43</v>
      </c>
      <c r="N19" t="s">
        <v>43</v>
      </c>
      <c r="O19" t="s">
        <v>811</v>
      </c>
      <c r="P19" t="s">
        <v>43</v>
      </c>
      <c r="Q19" t="s">
        <v>43</v>
      </c>
      <c r="R19" t="s">
        <v>860</v>
      </c>
      <c r="S19" t="s">
        <v>43</v>
      </c>
      <c r="T19" t="s">
        <v>43</v>
      </c>
      <c r="V19" t="s">
        <v>847</v>
      </c>
      <c r="W19" t="s">
        <v>43</v>
      </c>
      <c r="X19" t="s">
        <v>43</v>
      </c>
    </row>
    <row r="20" spans="1:24">
      <c r="A20">
        <v>19</v>
      </c>
      <c r="B20" t="s">
        <v>43</v>
      </c>
      <c r="C20" t="s">
        <v>808</v>
      </c>
      <c r="D20" t="s">
        <v>809</v>
      </c>
      <c r="E20" t="s">
        <v>43</v>
      </c>
      <c r="F20" t="s">
        <v>43</v>
      </c>
      <c r="G20" t="s">
        <v>854</v>
      </c>
      <c r="H20" t="s">
        <v>861</v>
      </c>
      <c r="I20">
        <v>2</v>
      </c>
      <c r="K20" t="s">
        <v>43</v>
      </c>
      <c r="L20" t="s">
        <v>43</v>
      </c>
      <c r="N20" t="s">
        <v>43</v>
      </c>
      <c r="O20" t="s">
        <v>811</v>
      </c>
      <c r="P20" t="s">
        <v>43</v>
      </c>
      <c r="Q20" t="s">
        <v>43</v>
      </c>
      <c r="R20" t="s">
        <v>862</v>
      </c>
      <c r="S20" t="s">
        <v>43</v>
      </c>
      <c r="T20" t="s">
        <v>43</v>
      </c>
      <c r="V20" t="s">
        <v>847</v>
      </c>
      <c r="W20" t="s">
        <v>43</v>
      </c>
      <c r="X20" t="s">
        <v>43</v>
      </c>
    </row>
    <row r="21" spans="1:24">
      <c r="A21">
        <v>20</v>
      </c>
      <c r="G21" t="s">
        <v>848</v>
      </c>
      <c r="H21" t="s">
        <v>767</v>
      </c>
      <c r="I21">
        <v>2</v>
      </c>
      <c r="O21" t="s">
        <v>811</v>
      </c>
      <c r="R21" t="s">
        <v>863</v>
      </c>
      <c r="T21" t="s">
        <v>730</v>
      </c>
      <c r="U21" t="s">
        <v>758</v>
      </c>
      <c r="V21" t="s">
        <v>847</v>
      </c>
    </row>
    <row r="22" spans="1:24">
      <c r="A22">
        <v>21</v>
      </c>
      <c r="G22" t="s">
        <v>848</v>
      </c>
      <c r="H22" t="s">
        <v>772</v>
      </c>
      <c r="I22">
        <v>2</v>
      </c>
      <c r="O22" t="s">
        <v>811</v>
      </c>
      <c r="R22" t="s">
        <v>864</v>
      </c>
      <c r="T22" t="s">
        <v>738</v>
      </c>
      <c r="U22" t="s">
        <v>739</v>
      </c>
      <c r="V22" t="s">
        <v>847</v>
      </c>
    </row>
    <row r="23" spans="1:24">
      <c r="A23">
        <v>22</v>
      </c>
      <c r="G23" t="s">
        <v>848</v>
      </c>
      <c r="H23" t="s">
        <v>773</v>
      </c>
      <c r="I23">
        <v>2</v>
      </c>
      <c r="O23" t="s">
        <v>811</v>
      </c>
      <c r="R23" t="s">
        <v>865</v>
      </c>
      <c r="T23" t="s">
        <v>740</v>
      </c>
      <c r="U23" t="s">
        <v>740</v>
      </c>
      <c r="V23" t="s">
        <v>847</v>
      </c>
    </row>
    <row r="24" spans="1:24">
      <c r="A24">
        <v>23</v>
      </c>
      <c r="G24" t="s">
        <v>848</v>
      </c>
      <c r="H24" t="s">
        <v>774</v>
      </c>
      <c r="I24">
        <v>2</v>
      </c>
      <c r="O24" t="s">
        <v>811</v>
      </c>
      <c r="R24" t="s">
        <v>866</v>
      </c>
      <c r="T24" t="s">
        <v>743</v>
      </c>
      <c r="U24" t="s">
        <v>743</v>
      </c>
      <c r="V24" t="s">
        <v>847</v>
      </c>
    </row>
    <row r="25" spans="1:24">
      <c r="A25">
        <v>24</v>
      </c>
      <c r="G25" t="s">
        <v>848</v>
      </c>
      <c r="H25" t="s">
        <v>775</v>
      </c>
      <c r="I25">
        <v>2</v>
      </c>
      <c r="O25" t="s">
        <v>811</v>
      </c>
      <c r="R25" t="s">
        <v>867</v>
      </c>
      <c r="T25" t="s">
        <v>744</v>
      </c>
      <c r="U25" t="s">
        <v>744</v>
      </c>
      <c r="V25" t="s">
        <v>847</v>
      </c>
    </row>
    <row r="26" spans="1:24">
      <c r="A26">
        <v>25</v>
      </c>
      <c r="G26" t="s">
        <v>848</v>
      </c>
      <c r="H26" t="s">
        <v>776</v>
      </c>
      <c r="I26">
        <v>2</v>
      </c>
      <c r="O26" t="s">
        <v>811</v>
      </c>
      <c r="R26" t="s">
        <v>868</v>
      </c>
      <c r="T26" t="s">
        <v>745</v>
      </c>
      <c r="U26" t="s">
        <v>745</v>
      </c>
      <c r="V26" t="s">
        <v>847</v>
      </c>
    </row>
    <row r="27" spans="1:24">
      <c r="A27">
        <v>26</v>
      </c>
      <c r="G27" t="s">
        <v>848</v>
      </c>
      <c r="H27" t="s">
        <v>777</v>
      </c>
      <c r="I27">
        <v>2</v>
      </c>
      <c r="O27" t="s">
        <v>811</v>
      </c>
      <c r="R27" t="s">
        <v>869</v>
      </c>
      <c r="T27" t="s">
        <v>746</v>
      </c>
      <c r="U27" t="s">
        <v>746</v>
      </c>
      <c r="V27" t="s">
        <v>847</v>
      </c>
    </row>
    <row r="28" spans="1:24">
      <c r="A28">
        <v>27</v>
      </c>
      <c r="G28" t="s">
        <v>848</v>
      </c>
      <c r="H28" t="s">
        <v>778</v>
      </c>
      <c r="I28">
        <v>2</v>
      </c>
      <c r="O28" t="s">
        <v>811</v>
      </c>
      <c r="R28" t="s">
        <v>870</v>
      </c>
      <c r="T28" t="s">
        <v>749</v>
      </c>
      <c r="U28" t="s">
        <v>749</v>
      </c>
      <c r="V28" t="s">
        <v>847</v>
      </c>
    </row>
    <row r="29" spans="1:24">
      <c r="A29">
        <v>28</v>
      </c>
      <c r="G29" t="s">
        <v>848</v>
      </c>
      <c r="H29" t="s">
        <v>779</v>
      </c>
      <c r="I29">
        <v>2</v>
      </c>
      <c r="O29" t="s">
        <v>811</v>
      </c>
      <c r="R29" t="s">
        <v>871</v>
      </c>
      <c r="T29" t="s">
        <v>750</v>
      </c>
      <c r="U29" t="s">
        <v>750</v>
      </c>
      <c r="V29" t="s">
        <v>847</v>
      </c>
    </row>
    <row r="30" spans="1:24">
      <c r="A30">
        <v>29</v>
      </c>
      <c r="G30" t="s">
        <v>848</v>
      </c>
      <c r="H30" t="s">
        <v>780</v>
      </c>
      <c r="I30">
        <v>2</v>
      </c>
      <c r="O30" t="s">
        <v>811</v>
      </c>
      <c r="R30" t="s">
        <v>872</v>
      </c>
      <c r="T30" t="s">
        <v>751</v>
      </c>
      <c r="U30" t="s">
        <v>751</v>
      </c>
      <c r="V30" t="s">
        <v>847</v>
      </c>
    </row>
    <row r="31" spans="1:24">
      <c r="A31">
        <v>30</v>
      </c>
      <c r="G31" t="s">
        <v>848</v>
      </c>
      <c r="H31" t="s">
        <v>781</v>
      </c>
      <c r="I31">
        <v>2</v>
      </c>
      <c r="O31" t="s">
        <v>811</v>
      </c>
      <c r="R31" t="s">
        <v>873</v>
      </c>
      <c r="T31" t="s">
        <v>752</v>
      </c>
      <c r="U31" t="s">
        <v>752</v>
      </c>
      <c r="V31" t="s">
        <v>847</v>
      </c>
    </row>
    <row r="32" spans="1:24">
      <c r="A32">
        <v>31</v>
      </c>
      <c r="G32" t="s">
        <v>848</v>
      </c>
      <c r="H32" t="s">
        <v>782</v>
      </c>
      <c r="I32">
        <v>2</v>
      </c>
      <c r="O32" t="s">
        <v>811</v>
      </c>
      <c r="R32" t="s">
        <v>874</v>
      </c>
      <c r="T32" t="s">
        <v>760</v>
      </c>
      <c r="U32" t="s">
        <v>760</v>
      </c>
      <c r="V32" t="s">
        <v>847</v>
      </c>
    </row>
    <row r="33" spans="1:22">
      <c r="A33">
        <v>32</v>
      </c>
      <c r="G33" t="s">
        <v>848</v>
      </c>
      <c r="H33" t="s">
        <v>783</v>
      </c>
      <c r="I33">
        <v>2</v>
      </c>
      <c r="O33" t="s">
        <v>811</v>
      </c>
      <c r="R33" t="s">
        <v>875</v>
      </c>
      <c r="T33" t="s">
        <v>762</v>
      </c>
      <c r="U33" t="s">
        <v>889</v>
      </c>
      <c r="V33" t="s">
        <v>847</v>
      </c>
    </row>
    <row r="34" spans="1:22">
      <c r="A34">
        <v>33</v>
      </c>
      <c r="G34" t="s">
        <v>848</v>
      </c>
      <c r="H34" t="s">
        <v>784</v>
      </c>
      <c r="I34">
        <v>2</v>
      </c>
      <c r="O34" t="s">
        <v>811</v>
      </c>
      <c r="R34" t="s">
        <v>876</v>
      </c>
      <c r="T34" t="s">
        <v>753</v>
      </c>
      <c r="U34" t="s">
        <v>753</v>
      </c>
      <c r="V34" t="s">
        <v>847</v>
      </c>
    </row>
    <row r="35" spans="1:22">
      <c r="A35">
        <v>34</v>
      </c>
      <c r="G35" t="s">
        <v>848</v>
      </c>
      <c r="H35" t="s">
        <v>785</v>
      </c>
      <c r="I35">
        <v>2</v>
      </c>
      <c r="O35" t="s">
        <v>811</v>
      </c>
      <c r="R35" t="s">
        <v>877</v>
      </c>
      <c r="T35" t="s">
        <v>754</v>
      </c>
      <c r="U35" t="s">
        <v>754</v>
      </c>
      <c r="V35" t="s">
        <v>847</v>
      </c>
    </row>
    <row r="36" spans="1:22">
      <c r="A36">
        <v>35</v>
      </c>
      <c r="G36" t="s">
        <v>848</v>
      </c>
      <c r="H36" t="s">
        <v>786</v>
      </c>
      <c r="I36">
        <v>2</v>
      </c>
      <c r="O36" t="s">
        <v>811</v>
      </c>
      <c r="R36" t="s">
        <v>878</v>
      </c>
      <c r="T36" t="s">
        <v>755</v>
      </c>
      <c r="U36" t="s">
        <v>755</v>
      </c>
      <c r="V36" t="s">
        <v>847</v>
      </c>
    </row>
    <row r="37" spans="1:22">
      <c r="A37">
        <v>36</v>
      </c>
      <c r="G37" t="s">
        <v>848</v>
      </c>
      <c r="H37" t="s">
        <v>787</v>
      </c>
      <c r="I37">
        <v>2</v>
      </c>
      <c r="O37" t="s">
        <v>811</v>
      </c>
      <c r="R37" t="s">
        <v>879</v>
      </c>
      <c r="T37" t="s">
        <v>756</v>
      </c>
      <c r="U37" t="s">
        <v>756</v>
      </c>
      <c r="V37" t="s">
        <v>847</v>
      </c>
    </row>
    <row r="38" spans="1:22">
      <c r="A38">
        <v>37</v>
      </c>
      <c r="G38" t="s">
        <v>848</v>
      </c>
      <c r="H38" t="s">
        <v>788</v>
      </c>
      <c r="I38">
        <v>2</v>
      </c>
      <c r="O38" t="s">
        <v>811</v>
      </c>
      <c r="R38" t="s">
        <v>880</v>
      </c>
      <c r="T38" t="s">
        <v>764</v>
      </c>
      <c r="U38" t="s">
        <v>764</v>
      </c>
      <c r="V38" t="s">
        <v>847</v>
      </c>
    </row>
    <row r="39" spans="1:22">
      <c r="A39">
        <v>38</v>
      </c>
      <c r="G39" t="s">
        <v>848</v>
      </c>
      <c r="H39" t="s">
        <v>789</v>
      </c>
      <c r="I39">
        <v>2</v>
      </c>
      <c r="O39" t="s">
        <v>811</v>
      </c>
      <c r="R39" t="s">
        <v>881</v>
      </c>
      <c r="T39" t="s">
        <v>765</v>
      </c>
      <c r="U39" t="s">
        <v>765</v>
      </c>
      <c r="V39" t="s">
        <v>847</v>
      </c>
    </row>
    <row r="40" spans="1:22">
      <c r="A40">
        <v>39</v>
      </c>
      <c r="G40" t="s">
        <v>848</v>
      </c>
      <c r="H40" t="s">
        <v>790</v>
      </c>
      <c r="I40">
        <v>2</v>
      </c>
      <c r="O40" t="s">
        <v>811</v>
      </c>
      <c r="R40" t="s">
        <v>882</v>
      </c>
      <c r="T40" t="s">
        <v>757</v>
      </c>
      <c r="U40" t="s">
        <v>757</v>
      </c>
      <c r="V40" t="s">
        <v>847</v>
      </c>
    </row>
  </sheetData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D409A-BA43-4871-B260-D03CBCAF2BEC}">
  <sheetPr codeName="Sheet7">
    <tabColor theme="7" tint="0.39997558519241921"/>
  </sheetPr>
  <dimension ref="A1:AR50"/>
  <sheetViews>
    <sheetView topLeftCell="AI9" zoomScale="70" zoomScaleNormal="70" workbookViewId="0">
      <selection activeCell="AP18" sqref="AP18:AP37"/>
    </sheetView>
  </sheetViews>
  <sheetFormatPr defaultColWidth="8.796875" defaultRowHeight="17.399999999999999" outlineLevelRow="1"/>
  <cols>
    <col min="1" max="1" width="5.5" customWidth="1"/>
    <col min="2" max="2" width="14" customWidth="1"/>
    <col min="3" max="3" width="12" customWidth="1"/>
    <col min="4" max="4" width="12.69921875" style="18" customWidth="1"/>
    <col min="6" max="6" width="16.19921875" customWidth="1"/>
    <col min="7" max="7" width="14.19921875" customWidth="1"/>
    <col min="8" max="9" width="19.296875" customWidth="1"/>
    <col min="10" max="10" width="13.19921875" customWidth="1"/>
    <col min="11" max="11" width="10.796875" customWidth="1"/>
    <col min="12" max="12" width="17.296875" customWidth="1"/>
    <col min="13" max="13" width="16.19921875" customWidth="1"/>
    <col min="14" max="15" width="1.796875" customWidth="1"/>
    <col min="16" max="16" width="4.09765625" customWidth="1"/>
    <col min="17" max="30" width="3.09765625" customWidth="1"/>
    <col min="31" max="32" width="1.796875" customWidth="1"/>
    <col min="33" max="33" width="13" customWidth="1"/>
    <col min="34" max="34" width="93.59765625" style="1" customWidth="1"/>
    <col min="35" max="35" width="14.19921875" customWidth="1"/>
    <col min="36" max="36" width="39.19921875" customWidth="1"/>
    <col min="37" max="37" width="17.19921875" customWidth="1"/>
    <col min="41" max="41" width="16.3984375" customWidth="1"/>
    <col min="42" max="42" width="16" customWidth="1"/>
  </cols>
  <sheetData>
    <row r="1" spans="1:42">
      <c r="P1">
        <f>COLUMN()</f>
        <v>16</v>
      </c>
      <c r="AD1">
        <f>COLUMN()</f>
        <v>30</v>
      </c>
    </row>
    <row r="2" spans="1:42">
      <c r="Q2" t="s">
        <v>684</v>
      </c>
      <c r="R2" t="s">
        <v>684</v>
      </c>
      <c r="S2" t="s">
        <v>684</v>
      </c>
      <c r="T2" t="s">
        <v>684</v>
      </c>
      <c r="U2" t="s">
        <v>684</v>
      </c>
      <c r="V2" t="s">
        <v>684</v>
      </c>
      <c r="W2" t="s">
        <v>684</v>
      </c>
      <c r="X2" t="s">
        <v>684</v>
      </c>
      <c r="Y2" t="s">
        <v>684</v>
      </c>
      <c r="Z2" t="s">
        <v>684</v>
      </c>
      <c r="AA2" t="s">
        <v>684</v>
      </c>
      <c r="AB2" t="s">
        <v>684</v>
      </c>
      <c r="AC2" t="s">
        <v>684</v>
      </c>
      <c r="AD2" t="s">
        <v>684</v>
      </c>
    </row>
    <row r="3" spans="1:42">
      <c r="Q3" t="s">
        <v>685</v>
      </c>
      <c r="R3" t="s">
        <v>686</v>
      </c>
      <c r="S3" t="s">
        <v>687</v>
      </c>
      <c r="T3" t="s">
        <v>688</v>
      </c>
      <c r="U3" t="s">
        <v>689</v>
      </c>
      <c r="V3" t="s">
        <v>690</v>
      </c>
      <c r="W3" t="s">
        <v>691</v>
      </c>
      <c r="X3" t="s">
        <v>692</v>
      </c>
      <c r="Y3" t="s">
        <v>693</v>
      </c>
      <c r="Z3" t="s">
        <v>694</v>
      </c>
      <c r="AA3" t="s">
        <v>695</v>
      </c>
      <c r="AB3" t="s">
        <v>696</v>
      </c>
      <c r="AC3" t="s">
        <v>697</v>
      </c>
      <c r="AD3" t="s">
        <v>698</v>
      </c>
      <c r="AI3" t="s">
        <v>51</v>
      </c>
    </row>
    <row r="4" spans="1:42">
      <c r="A4" s="9" t="s">
        <v>52</v>
      </c>
      <c r="B4" s="103" t="s">
        <v>53</v>
      </c>
      <c r="C4" s="103" t="s">
        <v>54</v>
      </c>
      <c r="D4" s="104" t="s">
        <v>55</v>
      </c>
      <c r="E4" s="9" t="s">
        <v>56</v>
      </c>
      <c r="F4" s="9" t="s">
        <v>57</v>
      </c>
      <c r="G4" s="9" t="s">
        <v>58</v>
      </c>
      <c r="H4" s="9" t="s">
        <v>59</v>
      </c>
      <c r="I4" s="9" t="s">
        <v>60</v>
      </c>
      <c r="J4" s="9" t="s">
        <v>61</v>
      </c>
      <c r="K4" s="9" t="s">
        <v>120</v>
      </c>
      <c r="L4" s="9" t="s">
        <v>121</v>
      </c>
      <c r="M4" s="9" t="s">
        <v>131</v>
      </c>
      <c r="N4" s="9"/>
      <c r="O4" s="9"/>
      <c r="P4" s="9">
        <v>1</v>
      </c>
      <c r="Q4" s="9">
        <v>2</v>
      </c>
      <c r="R4" s="9">
        <v>3</v>
      </c>
      <c r="S4" s="9">
        <v>4</v>
      </c>
      <c r="T4" s="9">
        <v>5</v>
      </c>
      <c r="U4" s="9">
        <v>6</v>
      </c>
      <c r="V4" s="9">
        <v>7</v>
      </c>
      <c r="W4" s="9">
        <v>8</v>
      </c>
      <c r="X4" s="9">
        <v>9</v>
      </c>
      <c r="Y4" s="9">
        <v>10</v>
      </c>
      <c r="Z4" s="9">
        <v>11</v>
      </c>
      <c r="AA4" s="9">
        <v>12</v>
      </c>
      <c r="AB4" s="9">
        <v>13</v>
      </c>
      <c r="AC4" s="9">
        <v>14</v>
      </c>
      <c r="AD4" s="9">
        <v>15</v>
      </c>
      <c r="AE4" s="9"/>
      <c r="AF4" s="9"/>
      <c r="AG4" s="9" t="s">
        <v>62</v>
      </c>
      <c r="AH4" s="3" t="s">
        <v>89</v>
      </c>
      <c r="AI4" s="2" t="s">
        <v>63</v>
      </c>
      <c r="AJ4" s="2" t="s">
        <v>64</v>
      </c>
      <c r="AK4" s="2" t="s">
        <v>65</v>
      </c>
      <c r="AL4" s="2" t="s">
        <v>66</v>
      </c>
      <c r="AM4" s="2" t="s">
        <v>67</v>
      </c>
      <c r="AN4" s="2" t="s">
        <v>68</v>
      </c>
      <c r="AO4" s="2" t="s">
        <v>69</v>
      </c>
    </row>
    <row r="5" spans="1:42">
      <c r="A5">
        <v>1</v>
      </c>
      <c r="B5">
        <v>1</v>
      </c>
      <c r="D5" s="18" t="s">
        <v>587</v>
      </c>
      <c r="F5" s="105" t="s">
        <v>85</v>
      </c>
      <c r="G5" s="105" t="s">
        <v>588</v>
      </c>
      <c r="H5" s="105"/>
      <c r="I5" s="105"/>
      <c r="J5" s="105"/>
      <c r="K5" s="105"/>
      <c r="L5" s="105"/>
      <c r="M5" s="105"/>
      <c r="N5" s="105"/>
      <c r="O5" s="105"/>
      <c r="P5" s="105">
        <f>IF(ISERROR(FIND($D5,[1]processdata_2!#REF!,1)),0,1)</f>
        <v>0</v>
      </c>
      <c r="Q5" s="105">
        <f>IF(ISERROR(FIND($D5,[1]processdata_2!#REF!,1)),0,1)</f>
        <v>0</v>
      </c>
      <c r="R5" s="105">
        <f>IF(ISERROR(FIND($D5,[1]processdata_2!#REF!,1)),0,1)</f>
        <v>0</v>
      </c>
      <c r="S5" s="105">
        <f>IF(ISERROR(FIND($D5,[1]processdata_2!#REF!,1)),0,1)</f>
        <v>0</v>
      </c>
      <c r="T5" s="105">
        <f>IF(ISERROR(FIND($D5,[1]processdata_2!#REF!,1)),0,1)</f>
        <v>0</v>
      </c>
      <c r="U5" s="105">
        <f>IF(ISERROR(FIND($D5,[1]processdata_2!#REF!,1)),0,1)</f>
        <v>0</v>
      </c>
      <c r="V5" s="105">
        <f>IF(ISERROR(FIND($D5,[1]processdata_2!#REF!,1)),0,1)</f>
        <v>0</v>
      </c>
      <c r="W5" s="105">
        <f>IF(ISERROR(FIND($D5,[1]processdata_2!#REF!,1)),0,1)</f>
        <v>0</v>
      </c>
      <c r="X5" s="105">
        <f>IF(ISERROR(FIND($D5,[1]processdata_2!#REF!,1)),0,1)</f>
        <v>0</v>
      </c>
      <c r="Y5" s="105">
        <f>IF(ISERROR(FIND($D5,[1]processdata_2!#REF!,1)),0,1)</f>
        <v>0</v>
      </c>
      <c r="Z5" s="105">
        <f>IF(ISERROR(FIND($D5,[1]processdata_2!#REF!,1)),0,1)</f>
        <v>0</v>
      </c>
      <c r="AA5" s="105">
        <f>IF(ISERROR(FIND($D5,[1]processdata_2!#REF!,1)),0,1)</f>
        <v>0</v>
      </c>
      <c r="AB5" s="105">
        <f>IF(ISERROR(FIND($D5,[1]processdata_2!#REF!,1)),0,1)</f>
        <v>0</v>
      </c>
      <c r="AC5" s="105">
        <f>IF(ISERROR(FIND($D5,[1]processdata_2!#REF!,1)),0,1)</f>
        <v>0</v>
      </c>
      <c r="AD5" s="105">
        <f>IF(ISERROR(FIND($D5,[1]processdata_2!#REF!,1)),0,1)</f>
        <v>0</v>
      </c>
      <c r="AG5" t="s">
        <v>70</v>
      </c>
      <c r="AH5" s="1" t="s">
        <v>589</v>
      </c>
      <c r="AI5" t="s">
        <v>71</v>
      </c>
      <c r="AJ5" t="s">
        <v>72</v>
      </c>
      <c r="AP5" t="s">
        <v>91</v>
      </c>
    </row>
    <row r="6" spans="1:42">
      <c r="A6">
        <v>2</v>
      </c>
      <c r="B6">
        <v>1</v>
      </c>
      <c r="D6" s="18" t="s">
        <v>590</v>
      </c>
      <c r="F6" s="105" t="s">
        <v>85</v>
      </c>
      <c r="G6" s="105" t="s">
        <v>588</v>
      </c>
      <c r="H6" s="105" t="s">
        <v>369</v>
      </c>
      <c r="I6" s="105"/>
      <c r="J6" s="105"/>
      <c r="K6" s="105"/>
      <c r="L6" s="105"/>
      <c r="M6" s="105"/>
      <c r="N6" s="105"/>
      <c r="O6" s="105"/>
      <c r="P6" s="105">
        <f>IF(ISERROR(FIND($D6,[1]processdata_2!#REF!,1)),0,1)</f>
        <v>0</v>
      </c>
      <c r="Q6" s="105">
        <f>IF(ISERROR(FIND($D6,[1]processdata_2!#REF!,1)),0,1)</f>
        <v>0</v>
      </c>
      <c r="R6" s="105">
        <f>IF(ISERROR(FIND($D6,[1]processdata_2!#REF!,1)),0,1)</f>
        <v>0</v>
      </c>
      <c r="S6" s="105">
        <f>IF(ISERROR(FIND($D6,[1]processdata_2!#REF!,1)),0,1)</f>
        <v>0</v>
      </c>
      <c r="T6" s="105">
        <f>IF(ISERROR(FIND($D6,[1]processdata_2!#REF!,1)),0,1)</f>
        <v>0</v>
      </c>
      <c r="U6" s="105">
        <f>IF(ISERROR(FIND($D6,[1]processdata_2!#REF!,1)),0,1)</f>
        <v>0</v>
      </c>
      <c r="V6" s="105">
        <f>IF(ISERROR(FIND($D6,[1]processdata_2!#REF!,1)),0,1)</f>
        <v>0</v>
      </c>
      <c r="W6" s="105">
        <f>IF(ISERROR(FIND($D6,[1]processdata_2!#REF!,1)),0,1)</f>
        <v>0</v>
      </c>
      <c r="X6" s="105">
        <f>IF(ISERROR(FIND($D6,[1]processdata_2!#REF!,1)),0,1)</f>
        <v>0</v>
      </c>
      <c r="Y6" s="105">
        <f>IF(ISERROR(FIND($D6,[1]processdata_2!#REF!,1)),0,1)</f>
        <v>0</v>
      </c>
      <c r="Z6" s="105">
        <f>IF(ISERROR(FIND($D6,[1]processdata_2!#REF!,1)),0,1)</f>
        <v>0</v>
      </c>
      <c r="AA6" s="105">
        <f>IF(ISERROR(FIND($D6,[1]processdata_2!#REF!,1)),0,1)</f>
        <v>0</v>
      </c>
      <c r="AB6" s="105">
        <f>IF(ISERROR(FIND($D6,[1]processdata_2!#REF!,1)),0,1)</f>
        <v>0</v>
      </c>
      <c r="AC6" s="105">
        <f>IF(ISERROR(FIND($D6,[1]processdata_2!#REF!,1)),0,1)</f>
        <v>0</v>
      </c>
      <c r="AD6" s="105">
        <f>IF(ISERROR(FIND($D6,[1]processdata_2!#REF!,1)),0,1)</f>
        <v>0</v>
      </c>
    </row>
    <row r="7" spans="1:42" outlineLevel="1">
      <c r="A7">
        <v>3</v>
      </c>
      <c r="B7">
        <v>1</v>
      </c>
      <c r="D7" s="18" t="s">
        <v>129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>
        <f>IF(ISERROR(FIND($D7,[1]processdata_2!#REF!,1)),0,1)</f>
        <v>0</v>
      </c>
      <c r="Q7" s="105">
        <f>IF(ISERROR(FIND($D7,[1]processdata_2!#REF!,1)),0,1)</f>
        <v>0</v>
      </c>
      <c r="R7" s="105">
        <f>IF(ISERROR(FIND($D7,[1]processdata_2!#REF!,1)),0,1)</f>
        <v>0</v>
      </c>
      <c r="S7" s="105">
        <f>IF(ISERROR(FIND($D7,[1]processdata_2!#REF!,1)),0,1)</f>
        <v>0</v>
      </c>
      <c r="T7" s="105">
        <f>IF(ISERROR(FIND($D7,[1]processdata_2!#REF!,1)),0,1)</f>
        <v>0</v>
      </c>
      <c r="U7" s="105">
        <f>IF(ISERROR(FIND($D7,[1]processdata_2!#REF!,1)),0,1)</f>
        <v>0</v>
      </c>
      <c r="V7" s="105">
        <f>IF(ISERROR(FIND($D7,[1]processdata_2!#REF!,1)),0,1)</f>
        <v>0</v>
      </c>
      <c r="W7" s="105">
        <f>IF(ISERROR(FIND($D7,[1]processdata_2!#REF!,1)),0,1)</f>
        <v>0</v>
      </c>
      <c r="X7" s="105">
        <f>IF(ISERROR(FIND($D7,[1]processdata_2!#REF!,1)),0,1)</f>
        <v>0</v>
      </c>
      <c r="Y7" s="105">
        <f>IF(ISERROR(FIND($D7,[1]processdata_2!#REF!,1)),0,1)</f>
        <v>0</v>
      </c>
      <c r="Z7" s="105">
        <f>IF(ISERROR(FIND($D7,[1]processdata_2!#REF!,1)),0,1)</f>
        <v>0</v>
      </c>
      <c r="AA7" s="105">
        <f>IF(ISERROR(FIND($D7,[1]processdata_2!#REF!,1)),0,1)</f>
        <v>0</v>
      </c>
      <c r="AB7" s="105">
        <f>IF(ISERROR(FIND($D7,[1]processdata_2!#REF!,1)),0,1)</f>
        <v>0</v>
      </c>
      <c r="AC7" s="105">
        <f>IF(ISERROR(FIND($D7,[1]processdata_2!#REF!,1)),0,1)</f>
        <v>0</v>
      </c>
      <c r="AD7" s="105">
        <f>IF(ISERROR(FIND($D7,[1]processdata_2!#REF!,1)),0,1)</f>
        <v>0</v>
      </c>
    </row>
    <row r="8" spans="1:42" outlineLevel="1">
      <c r="A8">
        <v>4</v>
      </c>
      <c r="B8">
        <v>1</v>
      </c>
      <c r="D8" s="18" t="s">
        <v>80</v>
      </c>
      <c r="F8" s="105" t="s">
        <v>80</v>
      </c>
      <c r="G8" s="105" t="s">
        <v>124</v>
      </c>
      <c r="H8" s="105" t="s">
        <v>125</v>
      </c>
      <c r="I8" s="105" t="s">
        <v>126</v>
      </c>
      <c r="J8" s="105" t="s">
        <v>127</v>
      </c>
      <c r="K8" s="105" t="s">
        <v>128</v>
      </c>
      <c r="L8" s="105" t="s">
        <v>141</v>
      </c>
      <c r="M8" s="105" t="s">
        <v>143</v>
      </c>
      <c r="N8" s="105"/>
      <c r="O8" s="105"/>
      <c r="P8" s="105">
        <f>IF(ISERROR(FIND($D8,[1]processdata_2!#REF!,1)),0,1)</f>
        <v>0</v>
      </c>
      <c r="Q8" s="105">
        <f>IF(ISERROR(FIND($D8,[1]processdata_2!#REF!,1)),0,1)</f>
        <v>0</v>
      </c>
      <c r="R8" s="105">
        <f>IF(ISERROR(FIND($D8,[1]processdata_2!#REF!,1)),0,1)</f>
        <v>0</v>
      </c>
      <c r="S8" s="105">
        <f>IF(ISERROR(FIND($D8,[1]processdata_2!#REF!,1)),0,1)</f>
        <v>0</v>
      </c>
      <c r="T8" s="105">
        <f>IF(ISERROR(FIND($D8,[1]processdata_2!#REF!,1)),0,1)</f>
        <v>0</v>
      </c>
      <c r="U8" s="105">
        <f>IF(ISERROR(FIND($D8,[1]processdata_2!#REF!,1)),0,1)</f>
        <v>0</v>
      </c>
      <c r="V8" s="105">
        <f>IF(ISERROR(FIND($D8,[1]processdata_2!#REF!,1)),0,1)</f>
        <v>0</v>
      </c>
      <c r="W8" s="105">
        <f>IF(ISERROR(FIND($D8,[1]processdata_2!#REF!,1)),0,1)</f>
        <v>0</v>
      </c>
      <c r="X8" s="105">
        <f>IF(ISERROR(FIND($D8,[1]processdata_2!#REF!,1)),0,1)</f>
        <v>0</v>
      </c>
      <c r="Y8" s="105">
        <f>IF(ISERROR(FIND($D8,[1]processdata_2!#REF!,1)),0,1)</f>
        <v>0</v>
      </c>
      <c r="Z8" s="105">
        <f>IF(ISERROR(FIND($D8,[1]processdata_2!#REF!,1)),0,1)</f>
        <v>0</v>
      </c>
      <c r="AA8" s="105">
        <f>IF(ISERROR(FIND($D8,[1]processdata_2!#REF!,1)),0,1)</f>
        <v>0</v>
      </c>
      <c r="AB8" s="105">
        <f>IF(ISERROR(FIND($D8,[1]processdata_2!#REF!,1)),0,1)</f>
        <v>0</v>
      </c>
      <c r="AC8" s="105">
        <f>IF(ISERROR(FIND($D8,[1]processdata_2!#REF!,1)),0,1)</f>
        <v>0</v>
      </c>
      <c r="AD8" s="105">
        <f>IF(ISERROR(FIND($D8,[1]processdata_2!#REF!,1)),0,1)</f>
        <v>0</v>
      </c>
      <c r="AG8" t="s">
        <v>70</v>
      </c>
      <c r="AH8" s="1" t="s">
        <v>90</v>
      </c>
    </row>
    <row r="9" spans="1:42" outlineLevel="1">
      <c r="A9">
        <v>5</v>
      </c>
      <c r="B9">
        <v>1</v>
      </c>
      <c r="D9" s="18" t="s">
        <v>73</v>
      </c>
      <c r="F9" s="105" t="s">
        <v>116</v>
      </c>
      <c r="G9" s="105" t="s">
        <v>74</v>
      </c>
      <c r="H9" s="105" t="s">
        <v>117</v>
      </c>
      <c r="I9" s="105" t="s">
        <v>118</v>
      </c>
      <c r="J9" s="105" t="s">
        <v>119</v>
      </c>
      <c r="K9" s="105" t="s">
        <v>115</v>
      </c>
      <c r="L9" s="105" t="s">
        <v>122</v>
      </c>
      <c r="M9" s="105"/>
      <c r="N9" s="105"/>
      <c r="O9" s="105"/>
      <c r="P9" s="105">
        <f>IF(ISERROR(FIND($D9,[1]processdata_2!#REF!,1)),0,1)</f>
        <v>0</v>
      </c>
      <c r="Q9" s="105">
        <f>IF(ISERROR(FIND($D9,[1]processdata_2!#REF!,1)),0,1)</f>
        <v>0</v>
      </c>
      <c r="R9" s="105">
        <f>IF(ISERROR(FIND($D9,[1]processdata_2!#REF!,1)),0,1)</f>
        <v>0</v>
      </c>
      <c r="S9" s="105">
        <f>IF(ISERROR(FIND($D9,[1]processdata_2!#REF!,1)),0,1)</f>
        <v>0</v>
      </c>
      <c r="T9" s="105">
        <f>IF(ISERROR(FIND($D9,[1]processdata_2!#REF!,1)),0,1)</f>
        <v>0</v>
      </c>
      <c r="U9" s="105">
        <f>IF(ISERROR(FIND($D9,[1]processdata_2!#REF!,1)),0,1)</f>
        <v>0</v>
      </c>
      <c r="V9" s="105">
        <f>IF(ISERROR(FIND($D9,[1]processdata_2!#REF!,1)),0,1)</f>
        <v>0</v>
      </c>
      <c r="W9" s="105">
        <f>IF(ISERROR(FIND($D9,[1]processdata_2!#REF!,1)),0,1)</f>
        <v>0</v>
      </c>
      <c r="X9" s="105">
        <f>IF(ISERROR(FIND($D9,[1]processdata_2!#REF!,1)),0,1)</f>
        <v>0</v>
      </c>
      <c r="Y9" s="105">
        <f>IF(ISERROR(FIND($D9,[1]processdata_2!#REF!,1)),0,1)</f>
        <v>0</v>
      </c>
      <c r="Z9" s="105">
        <f>IF(ISERROR(FIND($D9,[1]processdata_2!#REF!,1)),0,1)</f>
        <v>0</v>
      </c>
      <c r="AA9" s="105">
        <f>IF(ISERROR(FIND($D9,[1]processdata_2!#REF!,1)),0,1)</f>
        <v>0</v>
      </c>
      <c r="AB9" s="105">
        <f>IF(ISERROR(FIND($D9,[1]processdata_2!#REF!,1)),0,1)</f>
        <v>0</v>
      </c>
      <c r="AC9" s="105">
        <f>IF(ISERROR(FIND($D9,[1]processdata_2!#REF!,1)),0,1)</f>
        <v>0</v>
      </c>
      <c r="AD9" s="105">
        <f>IF(ISERROR(FIND($D9,[1]processdata_2!#REF!,1)),0,1)</f>
        <v>0</v>
      </c>
      <c r="AG9" t="s">
        <v>76</v>
      </c>
      <c r="AJ9" t="s">
        <v>72</v>
      </c>
      <c r="AK9" t="s">
        <v>75</v>
      </c>
    </row>
    <row r="10" spans="1:42" outlineLevel="1">
      <c r="A10">
        <v>6</v>
      </c>
      <c r="B10">
        <v>1</v>
      </c>
      <c r="D10" s="18" t="s">
        <v>591</v>
      </c>
      <c r="F10" s="105" t="s">
        <v>592</v>
      </c>
      <c r="G10" s="105" t="s">
        <v>144</v>
      </c>
      <c r="H10" s="105" t="s">
        <v>132</v>
      </c>
      <c r="I10" s="105" t="s">
        <v>83</v>
      </c>
      <c r="J10" s="105" t="s">
        <v>133</v>
      </c>
      <c r="K10" s="105" t="s">
        <v>134</v>
      </c>
      <c r="L10" s="105" t="s">
        <v>135</v>
      </c>
      <c r="M10" s="105" t="s">
        <v>136</v>
      </c>
      <c r="N10" s="105"/>
      <c r="O10" s="105"/>
      <c r="P10" s="105">
        <f>IF(ISERROR(FIND($D10,[1]processdata_2!#REF!,1)),0,1)</f>
        <v>0</v>
      </c>
      <c r="Q10" s="105">
        <f>IF(ISERROR(FIND($D10,[1]processdata_2!#REF!,1)),0,1)</f>
        <v>0</v>
      </c>
      <c r="R10" s="105">
        <f>IF(ISERROR(FIND($D10,[1]processdata_2!#REF!,1)),0,1)</f>
        <v>0</v>
      </c>
      <c r="S10" s="105">
        <f>IF(ISERROR(FIND($D10,[1]processdata_2!#REF!,1)),0,1)</f>
        <v>0</v>
      </c>
      <c r="T10" s="105">
        <f>IF(ISERROR(FIND($D10,[1]processdata_2!#REF!,1)),0,1)</f>
        <v>0</v>
      </c>
      <c r="U10" s="105">
        <f>IF(ISERROR(FIND($D10,[1]processdata_2!#REF!,1)),0,1)</f>
        <v>0</v>
      </c>
      <c r="V10" s="105">
        <f>IF(ISERROR(FIND($D10,[1]processdata_2!#REF!,1)),0,1)</f>
        <v>0</v>
      </c>
      <c r="W10" s="105">
        <f>IF(ISERROR(FIND($D10,[1]processdata_2!#REF!,1)),0,1)</f>
        <v>0</v>
      </c>
      <c r="X10" s="105">
        <f>IF(ISERROR(FIND($D10,[1]processdata_2!#REF!,1)),0,1)</f>
        <v>0</v>
      </c>
      <c r="Y10" s="105">
        <f>IF(ISERROR(FIND($D10,[1]processdata_2!#REF!,1)),0,1)</f>
        <v>0</v>
      </c>
      <c r="Z10" s="105">
        <f>IF(ISERROR(FIND($D10,[1]processdata_2!#REF!,1)),0,1)</f>
        <v>0</v>
      </c>
      <c r="AA10" s="105">
        <f>IF(ISERROR(FIND($D10,[1]processdata_2!#REF!,1)),0,1)</f>
        <v>0</v>
      </c>
      <c r="AB10" s="105">
        <f>IF(ISERROR(FIND($D10,[1]processdata_2!#REF!,1)),0,1)</f>
        <v>0</v>
      </c>
      <c r="AC10" s="105">
        <f>IF(ISERROR(FIND($D10,[1]processdata_2!#REF!,1)),0,1)</f>
        <v>0</v>
      </c>
      <c r="AD10" s="105">
        <f>IF(ISERROR(FIND($D10,[1]processdata_2!#REF!,1)),0,1)</f>
        <v>0</v>
      </c>
      <c r="AG10" t="s">
        <v>70</v>
      </c>
    </row>
    <row r="11" spans="1:42" outlineLevel="1">
      <c r="A11">
        <v>7</v>
      </c>
      <c r="B11">
        <v>1</v>
      </c>
      <c r="D11" s="18" t="s">
        <v>78</v>
      </c>
      <c r="F11" s="105" t="s">
        <v>80</v>
      </c>
      <c r="G11" s="105" t="s">
        <v>124</v>
      </c>
      <c r="H11" s="105" t="s">
        <v>125</v>
      </c>
      <c r="I11" s="105" t="s">
        <v>126</v>
      </c>
      <c r="J11" s="105" t="s">
        <v>127</v>
      </c>
      <c r="K11" s="105" t="s">
        <v>128</v>
      </c>
      <c r="L11" s="105" t="s">
        <v>141</v>
      </c>
      <c r="M11" s="105" t="s">
        <v>143</v>
      </c>
      <c r="N11" s="105"/>
      <c r="O11" s="105"/>
      <c r="P11" s="105">
        <f>IF(ISERROR(FIND($D11,[1]processdata_2!#REF!,1)),0,1)</f>
        <v>0</v>
      </c>
      <c r="Q11" s="105">
        <f>IF(ISERROR(FIND($D11,[1]processdata_2!#REF!,1)),0,1)</f>
        <v>0</v>
      </c>
      <c r="R11" s="105">
        <f>IF(ISERROR(FIND($D11,[1]processdata_2!#REF!,1)),0,1)</f>
        <v>0</v>
      </c>
      <c r="S11" s="105">
        <f>IF(ISERROR(FIND($D11,[1]processdata_2!#REF!,1)),0,1)</f>
        <v>0</v>
      </c>
      <c r="T11" s="105">
        <f>IF(ISERROR(FIND($D11,[1]processdata_2!#REF!,1)),0,1)</f>
        <v>0</v>
      </c>
      <c r="U11" s="105">
        <f>IF(ISERROR(FIND($D11,[1]processdata_2!#REF!,1)),0,1)</f>
        <v>0</v>
      </c>
      <c r="V11" s="105">
        <f>IF(ISERROR(FIND($D11,[1]processdata_2!#REF!,1)),0,1)</f>
        <v>0</v>
      </c>
      <c r="W11" s="105">
        <f>IF(ISERROR(FIND($D11,[1]processdata_2!#REF!,1)),0,1)</f>
        <v>0</v>
      </c>
      <c r="X11" s="105">
        <f>IF(ISERROR(FIND($D11,[1]processdata_2!#REF!,1)),0,1)</f>
        <v>0</v>
      </c>
      <c r="Y11" s="105">
        <f>IF(ISERROR(FIND($D11,[1]processdata_2!#REF!,1)),0,1)</f>
        <v>0</v>
      </c>
      <c r="Z11" s="105">
        <f>IF(ISERROR(FIND($D11,[1]processdata_2!#REF!,1)),0,1)</f>
        <v>0</v>
      </c>
      <c r="AA11" s="105">
        <f>IF(ISERROR(FIND($D11,[1]processdata_2!#REF!,1)),0,1)</f>
        <v>0</v>
      </c>
      <c r="AB11" s="105">
        <f>IF(ISERROR(FIND($D11,[1]processdata_2!#REF!,1)),0,1)</f>
        <v>0</v>
      </c>
      <c r="AC11" s="105">
        <f>IF(ISERROR(FIND($D11,[1]processdata_2!#REF!,1)),0,1)</f>
        <v>0</v>
      </c>
      <c r="AD11" s="105">
        <f>IF(ISERROR(FIND($D11,[1]processdata_2!#REF!,1)),0,1)</f>
        <v>0</v>
      </c>
      <c r="AG11" t="s">
        <v>76</v>
      </c>
      <c r="AI11" t="s">
        <v>79</v>
      </c>
      <c r="AJ11" t="s">
        <v>72</v>
      </c>
      <c r="AP11" t="s">
        <v>92</v>
      </c>
    </row>
    <row r="12" spans="1:42" outlineLevel="1">
      <c r="A12">
        <v>8</v>
      </c>
      <c r="B12">
        <v>1</v>
      </c>
      <c r="D12" s="108" t="s">
        <v>593</v>
      </c>
      <c r="F12" s="105" t="s">
        <v>594</v>
      </c>
      <c r="G12" s="105" t="s">
        <v>123</v>
      </c>
      <c r="H12" s="105" t="s">
        <v>130</v>
      </c>
      <c r="I12" s="105" t="s">
        <v>230</v>
      </c>
      <c r="J12" s="105" t="s">
        <v>146</v>
      </c>
      <c r="K12" s="105" t="s">
        <v>148</v>
      </c>
      <c r="L12" s="105" t="s">
        <v>595</v>
      </c>
      <c r="M12" s="105" t="s">
        <v>884</v>
      </c>
      <c r="N12" s="105"/>
      <c r="O12" s="105"/>
      <c r="P12" s="105">
        <f>IF(ISERROR(FIND($D12,[1]processdata_2!#REF!,1)),0,1)</f>
        <v>0</v>
      </c>
      <c r="Q12" s="105">
        <f>IF(ISERROR(FIND($D12,[1]processdata_2!#REF!,1)),0,1)</f>
        <v>0</v>
      </c>
      <c r="R12" s="105">
        <f>IF(ISERROR(FIND($D12,[1]processdata_2!#REF!,1)),0,1)</f>
        <v>0</v>
      </c>
      <c r="S12" s="105">
        <f>IF(ISERROR(FIND($D12,[1]processdata_2!#REF!,1)),0,1)</f>
        <v>0</v>
      </c>
      <c r="T12" s="105">
        <f>IF(ISERROR(FIND($D12,[1]processdata_2!#REF!,1)),0,1)</f>
        <v>0</v>
      </c>
      <c r="U12" s="105">
        <f>IF(ISERROR(FIND($D12,[1]processdata_2!#REF!,1)),0,1)</f>
        <v>0</v>
      </c>
      <c r="V12" s="105">
        <f>IF(ISERROR(FIND($D12,[1]processdata_2!#REF!,1)),0,1)</f>
        <v>0</v>
      </c>
      <c r="W12" s="105">
        <f>IF(ISERROR(FIND($D12,[1]processdata_2!#REF!,1)),0,1)</f>
        <v>0</v>
      </c>
      <c r="X12" s="105">
        <f>IF(ISERROR(FIND($D12,[1]processdata_2!#REF!,1)),0,1)</f>
        <v>0</v>
      </c>
      <c r="Y12" s="105">
        <f>IF(ISERROR(FIND($D12,[1]processdata_2!#REF!,1)),0,1)</f>
        <v>0</v>
      </c>
      <c r="Z12" s="105">
        <f>IF(ISERROR(FIND($D12,[1]processdata_2!#REF!,1)),0,1)</f>
        <v>0</v>
      </c>
      <c r="AA12" s="105">
        <f>IF(ISERROR(FIND($D12,[1]processdata_2!#REF!,1)),0,1)</f>
        <v>0</v>
      </c>
      <c r="AB12" s="105">
        <f>IF(ISERROR(FIND($D12,[1]processdata_2!#REF!,1)),0,1)</f>
        <v>0</v>
      </c>
      <c r="AC12" s="105">
        <f>IF(ISERROR(FIND($D12,[1]processdata_2!#REF!,1)),0,1)</f>
        <v>0</v>
      </c>
      <c r="AD12" s="105">
        <f>IF(ISERROR(FIND($D12,[1]processdata_2!#REF!,1)),0,1)</f>
        <v>0</v>
      </c>
      <c r="AG12" t="s">
        <v>76</v>
      </c>
      <c r="AH12" s="1" t="s">
        <v>596</v>
      </c>
    </row>
    <row r="13" spans="1:42" outlineLevel="1">
      <c r="A13">
        <v>9</v>
      </c>
      <c r="B13">
        <v>1</v>
      </c>
      <c r="D13" s="108" t="s">
        <v>597</v>
      </c>
      <c r="F13" s="105" t="s">
        <v>77</v>
      </c>
      <c r="G13" s="105" t="s">
        <v>595</v>
      </c>
      <c r="H13" s="105"/>
      <c r="I13" s="105"/>
      <c r="J13" s="105"/>
      <c r="K13" s="105"/>
      <c r="L13" s="105"/>
      <c r="M13" s="105"/>
      <c r="N13" s="105"/>
      <c r="O13" s="105"/>
      <c r="P13" s="105">
        <f>IF(ISERROR(FIND($D13,[1]processdata_2!#REF!,1)),0,1)</f>
        <v>0</v>
      </c>
      <c r="Q13" s="105">
        <f>IF(ISERROR(FIND($D13,[1]processdata_2!#REF!,1)),0,1)</f>
        <v>0</v>
      </c>
      <c r="R13" s="105">
        <f>IF(ISERROR(FIND($D13,[1]processdata_2!#REF!,1)),0,1)</f>
        <v>0</v>
      </c>
      <c r="S13" s="105">
        <f>IF(ISERROR(FIND($D13,[1]processdata_2!#REF!,1)),0,1)</f>
        <v>0</v>
      </c>
      <c r="T13" s="105">
        <f>IF(ISERROR(FIND($D13,[1]processdata_2!#REF!,1)),0,1)</f>
        <v>0</v>
      </c>
      <c r="U13" s="105">
        <f>IF(ISERROR(FIND($D13,[1]processdata_2!#REF!,1)),0,1)</f>
        <v>0</v>
      </c>
      <c r="V13" s="105">
        <f>IF(ISERROR(FIND($D13,[1]processdata_2!#REF!,1)),0,1)</f>
        <v>0</v>
      </c>
      <c r="W13" s="105">
        <f>IF(ISERROR(FIND($D13,[1]processdata_2!#REF!,1)),0,1)</f>
        <v>0</v>
      </c>
      <c r="X13" s="105">
        <f>IF(ISERROR(FIND($D13,[1]processdata_2!#REF!,1)),0,1)</f>
        <v>0</v>
      </c>
      <c r="Y13" s="105">
        <f>IF(ISERROR(FIND($D13,[1]processdata_2!#REF!,1)),0,1)</f>
        <v>0</v>
      </c>
      <c r="Z13" s="105">
        <f>IF(ISERROR(FIND($D13,[1]processdata_2!#REF!,1)),0,1)</f>
        <v>0</v>
      </c>
      <c r="AA13" s="105">
        <f>IF(ISERROR(FIND($D13,[1]processdata_2!#REF!,1)),0,1)</f>
        <v>0</v>
      </c>
      <c r="AB13" s="105">
        <f>IF(ISERROR(FIND($D13,[1]processdata_2!#REF!,1)),0,1)</f>
        <v>0</v>
      </c>
      <c r="AC13" s="105">
        <f>IF(ISERROR(FIND($D13,[1]processdata_2!#REF!,1)),0,1)</f>
        <v>0</v>
      </c>
      <c r="AD13" s="105">
        <f>IF(ISERROR(FIND($D13,[1]processdata_2!#REF!,1)),0,1)</f>
        <v>0</v>
      </c>
      <c r="AG13" t="s">
        <v>76</v>
      </c>
    </row>
    <row r="14" spans="1:42" outlineLevel="1">
      <c r="A14">
        <v>10</v>
      </c>
      <c r="B14">
        <v>1</v>
      </c>
      <c r="D14" s="108" t="s">
        <v>598</v>
      </c>
      <c r="F14" s="105" t="s">
        <v>84</v>
      </c>
      <c r="G14" s="105"/>
      <c r="H14" s="105"/>
      <c r="I14" s="105"/>
      <c r="J14" s="105"/>
      <c r="K14" s="105"/>
      <c r="L14" s="105"/>
      <c r="M14" s="105"/>
      <c r="N14" s="105"/>
      <c r="O14" s="105"/>
      <c r="P14" s="105">
        <f>IF(ISERROR(FIND($D14,[1]processdata_2!#REF!,1)),0,1)</f>
        <v>0</v>
      </c>
      <c r="Q14" s="105">
        <f>IF(ISERROR(FIND($D14,[1]processdata_2!#REF!,1)),0,1)</f>
        <v>0</v>
      </c>
      <c r="R14" s="105">
        <f>IF(ISERROR(FIND($D14,[1]processdata_2!#REF!,1)),0,1)</f>
        <v>0</v>
      </c>
      <c r="S14" s="105">
        <f>IF(ISERROR(FIND($D14,[1]processdata_2!#REF!,1)),0,1)</f>
        <v>0</v>
      </c>
      <c r="T14" s="105">
        <f>IF(ISERROR(FIND($D14,[1]processdata_2!#REF!,1)),0,1)</f>
        <v>0</v>
      </c>
      <c r="U14" s="105">
        <f>IF(ISERROR(FIND($D14,[1]processdata_2!#REF!,1)),0,1)</f>
        <v>0</v>
      </c>
      <c r="V14" s="105">
        <f>IF(ISERROR(FIND($D14,[1]processdata_2!#REF!,1)),0,1)</f>
        <v>0</v>
      </c>
      <c r="W14" s="105">
        <f>IF(ISERROR(FIND($D14,[1]processdata_2!#REF!,1)),0,1)</f>
        <v>0</v>
      </c>
      <c r="X14" s="105">
        <f>IF(ISERROR(FIND($D14,[1]processdata_2!#REF!,1)),0,1)</f>
        <v>0</v>
      </c>
      <c r="Y14" s="105">
        <f>IF(ISERROR(FIND($D14,[1]processdata_2!#REF!,1)),0,1)</f>
        <v>0</v>
      </c>
      <c r="Z14" s="105">
        <f>IF(ISERROR(FIND($D14,[1]processdata_2!#REF!,1)),0,1)</f>
        <v>0</v>
      </c>
      <c r="AA14" s="105">
        <f>IF(ISERROR(FIND($D14,[1]processdata_2!#REF!,1)),0,1)</f>
        <v>0</v>
      </c>
      <c r="AB14" s="105">
        <f>IF(ISERROR(FIND($D14,[1]processdata_2!#REF!,1)),0,1)</f>
        <v>0</v>
      </c>
      <c r="AC14" s="105">
        <f>IF(ISERROR(FIND($D14,[1]processdata_2!#REF!,1)),0,1)</f>
        <v>0</v>
      </c>
      <c r="AD14" s="105">
        <f>IF(ISERROR(FIND($D14,[1]processdata_2!#REF!,1)),0,1)</f>
        <v>0</v>
      </c>
      <c r="AG14" t="s">
        <v>70</v>
      </c>
      <c r="AH14" s="1" t="s">
        <v>599</v>
      </c>
    </row>
    <row r="15" spans="1:42" outlineLevel="1">
      <c r="A15">
        <v>11</v>
      </c>
      <c r="B15">
        <v>1</v>
      </c>
      <c r="D15" s="108" t="s">
        <v>600</v>
      </c>
      <c r="F15" s="105" t="s">
        <v>600</v>
      </c>
      <c r="G15" s="105"/>
      <c r="H15" s="105"/>
      <c r="I15" s="105"/>
      <c r="J15" s="105"/>
      <c r="K15" s="105"/>
      <c r="L15" s="105"/>
      <c r="M15" s="105"/>
      <c r="N15" s="105"/>
      <c r="O15" s="105"/>
      <c r="P15" s="105">
        <f>IF(ISERROR(FIND($D15,[1]processdata_2!#REF!,1)),0,1)</f>
        <v>0</v>
      </c>
      <c r="Q15" s="105">
        <f>IF(ISERROR(FIND($D15,[1]processdata_2!#REF!,1)),0,1)</f>
        <v>0</v>
      </c>
      <c r="R15" s="105">
        <f>IF(ISERROR(FIND($D15,[1]processdata_2!#REF!,1)),0,1)</f>
        <v>0</v>
      </c>
      <c r="S15" s="105">
        <f>IF(ISERROR(FIND($D15,[1]processdata_2!#REF!,1)),0,1)</f>
        <v>0</v>
      </c>
      <c r="T15" s="105">
        <f>IF(ISERROR(FIND($D15,[1]processdata_2!#REF!,1)),0,1)</f>
        <v>0</v>
      </c>
      <c r="U15" s="105">
        <f>IF(ISERROR(FIND($D15,[1]processdata_2!#REF!,1)),0,1)</f>
        <v>0</v>
      </c>
      <c r="V15" s="105">
        <f>IF(ISERROR(FIND($D15,[1]processdata_2!#REF!,1)),0,1)</f>
        <v>0</v>
      </c>
      <c r="W15" s="105">
        <f>IF(ISERROR(FIND($D15,[1]processdata_2!#REF!,1)),0,1)</f>
        <v>0</v>
      </c>
      <c r="X15" s="105">
        <f>IF(ISERROR(FIND($D15,[1]processdata_2!#REF!,1)),0,1)</f>
        <v>0</v>
      </c>
      <c r="Y15" s="105">
        <f>IF(ISERROR(FIND($D15,[1]processdata_2!#REF!,1)),0,1)</f>
        <v>0</v>
      </c>
      <c r="Z15" s="105">
        <f>IF(ISERROR(FIND($D15,[1]processdata_2!#REF!,1)),0,1)</f>
        <v>0</v>
      </c>
      <c r="AA15" s="105">
        <f>IF(ISERROR(FIND($D15,[1]processdata_2!#REF!,1)),0,1)</f>
        <v>0</v>
      </c>
      <c r="AB15" s="105">
        <f>IF(ISERROR(FIND($D15,[1]processdata_2!#REF!,1)),0,1)</f>
        <v>0</v>
      </c>
      <c r="AC15" s="105">
        <f>IF(ISERROR(FIND($D15,[1]processdata_2!#REF!,1)),0,1)</f>
        <v>0</v>
      </c>
      <c r="AD15" s="105">
        <f>IF(ISERROR(FIND($D15,[1]processdata_2!#REF!,1)),0,1)</f>
        <v>0</v>
      </c>
      <c r="AG15" t="s">
        <v>76</v>
      </c>
      <c r="AH15" s="1" t="s">
        <v>601</v>
      </c>
    </row>
    <row r="16" spans="1:42" outlineLevel="1">
      <c r="A16">
        <v>12</v>
      </c>
      <c r="B16">
        <v>1</v>
      </c>
      <c r="D16" s="108" t="s">
        <v>602</v>
      </c>
      <c r="F16" s="105" t="s">
        <v>74</v>
      </c>
      <c r="G16" s="105" t="s">
        <v>117</v>
      </c>
      <c r="H16" s="105" t="s">
        <v>118</v>
      </c>
      <c r="I16" s="105" t="s">
        <v>119</v>
      </c>
      <c r="J16" s="105" t="s">
        <v>603</v>
      </c>
      <c r="K16" s="105"/>
      <c r="L16" s="105"/>
      <c r="M16" s="105"/>
      <c r="N16" s="105"/>
      <c r="O16" s="105"/>
      <c r="P16" s="105">
        <f>IF(ISERROR(FIND($D16,[1]processdata_2!#REF!,1)),0,1)</f>
        <v>0</v>
      </c>
      <c r="Q16" s="105">
        <f>IF(ISERROR(FIND($D16,[1]processdata_2!#REF!,1)),0,1)</f>
        <v>0</v>
      </c>
      <c r="R16" s="105">
        <f>IF(ISERROR(FIND($D16,[1]processdata_2!#REF!,1)),0,1)</f>
        <v>0</v>
      </c>
      <c r="S16" s="105">
        <f>IF(ISERROR(FIND($D16,[1]processdata_2!#REF!,1)),0,1)</f>
        <v>0</v>
      </c>
      <c r="T16" s="105">
        <f>IF(ISERROR(FIND($D16,[1]processdata_2!#REF!,1)),0,1)</f>
        <v>0</v>
      </c>
      <c r="U16" s="105">
        <f>IF(ISERROR(FIND($D16,[1]processdata_2!#REF!,1)),0,1)</f>
        <v>0</v>
      </c>
      <c r="V16" s="105">
        <f>IF(ISERROR(FIND($D16,[1]processdata_2!#REF!,1)),0,1)</f>
        <v>0</v>
      </c>
      <c r="W16" s="105">
        <f>IF(ISERROR(FIND($D16,[1]processdata_2!#REF!,1)),0,1)</f>
        <v>0</v>
      </c>
      <c r="X16" s="105">
        <f>IF(ISERROR(FIND($D16,[1]processdata_2!#REF!,1)),0,1)</f>
        <v>0</v>
      </c>
      <c r="Y16" s="105">
        <f>IF(ISERROR(FIND($D16,[1]processdata_2!#REF!,1)),0,1)</f>
        <v>0</v>
      </c>
      <c r="Z16" s="105">
        <f>IF(ISERROR(FIND($D16,[1]processdata_2!#REF!,1)),0,1)</f>
        <v>0</v>
      </c>
      <c r="AA16" s="105">
        <f>IF(ISERROR(FIND($D16,[1]processdata_2!#REF!,1)),0,1)</f>
        <v>0</v>
      </c>
      <c r="AB16" s="105">
        <f>IF(ISERROR(FIND($D16,[1]processdata_2!#REF!,1)),0,1)</f>
        <v>0</v>
      </c>
      <c r="AC16" s="105">
        <f>IF(ISERROR(FIND($D16,[1]processdata_2!#REF!,1)),0,1)</f>
        <v>0</v>
      </c>
      <c r="AD16" s="105">
        <f>IF(ISERROR(FIND($D16,[1]processdata_2!#REF!,1)),0,1)</f>
        <v>0</v>
      </c>
      <c r="AG16" t="s">
        <v>76</v>
      </c>
    </row>
    <row r="17" spans="1:44" outlineLevel="1">
      <c r="A17">
        <v>13</v>
      </c>
      <c r="B17">
        <v>1</v>
      </c>
      <c r="D17" s="18" t="s">
        <v>604</v>
      </c>
      <c r="F17" s="105" t="s">
        <v>604</v>
      </c>
      <c r="G17" s="105"/>
      <c r="H17" s="105"/>
      <c r="I17" s="105"/>
      <c r="J17" s="105"/>
      <c r="K17" s="105"/>
      <c r="L17" s="105"/>
      <c r="M17" s="105"/>
      <c r="N17" s="105"/>
      <c r="O17" s="105"/>
      <c r="P17" s="105">
        <f>IF(ISERROR(FIND($D17,[1]processdata_2!#REF!,1)),0,1)</f>
        <v>0</v>
      </c>
      <c r="Q17" s="105">
        <f>IF(ISERROR(FIND($D17,[1]processdata_2!#REF!,1)),0,1)</f>
        <v>0</v>
      </c>
      <c r="R17" s="105">
        <f>IF(ISERROR(FIND($D17,[1]processdata_2!#REF!,1)),0,1)</f>
        <v>0</v>
      </c>
      <c r="S17" s="105">
        <f>IF(ISERROR(FIND($D17,[1]processdata_2!#REF!,1)),0,1)</f>
        <v>0</v>
      </c>
      <c r="T17" s="105">
        <f>IF(ISERROR(FIND($D17,[1]processdata_2!#REF!,1)),0,1)</f>
        <v>0</v>
      </c>
      <c r="U17" s="105">
        <f>IF(ISERROR(FIND($D17,[1]processdata_2!#REF!,1)),0,1)</f>
        <v>0</v>
      </c>
      <c r="V17" s="105">
        <f>IF(ISERROR(FIND($D17,[1]processdata_2!#REF!,1)),0,1)</f>
        <v>0</v>
      </c>
      <c r="W17" s="105">
        <f>IF(ISERROR(FIND($D17,[1]processdata_2!#REF!,1)),0,1)</f>
        <v>0</v>
      </c>
      <c r="X17" s="105">
        <f>IF(ISERROR(FIND($D17,[1]processdata_2!#REF!,1)),0,1)</f>
        <v>0</v>
      </c>
      <c r="Y17" s="105">
        <f>IF(ISERROR(FIND($D17,[1]processdata_2!#REF!,1)),0,1)</f>
        <v>0</v>
      </c>
      <c r="Z17" s="105">
        <f>IF(ISERROR(FIND($D17,[1]processdata_2!#REF!,1)),0,1)</f>
        <v>0</v>
      </c>
      <c r="AA17" s="105">
        <f>IF(ISERROR(FIND($D17,[1]processdata_2!#REF!,1)),0,1)</f>
        <v>0</v>
      </c>
      <c r="AB17" s="105">
        <f>IF(ISERROR(FIND($D17,[1]processdata_2!#REF!,1)),0,1)</f>
        <v>0</v>
      </c>
      <c r="AC17" s="105">
        <f>IF(ISERROR(FIND($D17,[1]processdata_2!#REF!,1)),0,1)</f>
        <v>0</v>
      </c>
      <c r="AD17" s="105">
        <f>IF(ISERROR(FIND($D17,[1]processdata_2!#REF!,1)),0,1)</f>
        <v>0</v>
      </c>
      <c r="AG17" t="s">
        <v>76</v>
      </c>
      <c r="AH17" s="1" t="s">
        <v>605</v>
      </c>
      <c r="AJ17" s="112" t="s">
        <v>683</v>
      </c>
      <c r="AK17" s="112"/>
      <c r="AN17" t="s">
        <v>888</v>
      </c>
      <c r="AO17" t="s">
        <v>887</v>
      </c>
      <c r="AP17" t="s">
        <v>886</v>
      </c>
      <c r="AQ17" t="s">
        <v>766</v>
      </c>
    </row>
    <row r="18" spans="1:44">
      <c r="A18">
        <v>14</v>
      </c>
      <c r="B18">
        <v>1</v>
      </c>
      <c r="D18" s="18" t="s">
        <v>606</v>
      </c>
      <c r="F18" s="105" t="s">
        <v>606</v>
      </c>
      <c r="G18" s="105"/>
      <c r="H18" s="105"/>
      <c r="I18" s="105"/>
      <c r="J18" s="105"/>
      <c r="K18" s="105"/>
      <c r="L18" s="105"/>
      <c r="M18" s="105"/>
      <c r="N18" s="105"/>
      <c r="O18" s="105"/>
      <c r="P18" s="105">
        <f>IF(ISERROR(FIND($D18,[1]processdata_2!#REF!,1)),0,1)</f>
        <v>0</v>
      </c>
      <c r="Q18" s="105">
        <f>IF(ISERROR(FIND($D18,[1]processdata_2!#REF!,1)),0,1)</f>
        <v>0</v>
      </c>
      <c r="R18" s="105">
        <f>IF(ISERROR(FIND($D18,[1]processdata_2!#REF!,1)),0,1)</f>
        <v>0</v>
      </c>
      <c r="S18" s="105">
        <f>IF(ISERROR(FIND($D18,[1]processdata_2!#REF!,1)),0,1)</f>
        <v>0</v>
      </c>
      <c r="T18" s="105">
        <f>IF(ISERROR(FIND($D18,[1]processdata_2!#REF!,1)),0,1)</f>
        <v>0</v>
      </c>
      <c r="U18" s="105">
        <f>IF(ISERROR(FIND($D18,[1]processdata_2!#REF!,1)),0,1)</f>
        <v>0</v>
      </c>
      <c r="V18" s="105">
        <f>IF(ISERROR(FIND($D18,[1]processdata_2!#REF!,1)),0,1)</f>
        <v>0</v>
      </c>
      <c r="W18" s="105">
        <f>IF(ISERROR(FIND($D18,[1]processdata_2!#REF!,1)),0,1)</f>
        <v>0</v>
      </c>
      <c r="X18" s="105">
        <f>IF(ISERROR(FIND($D18,[1]processdata_2!#REF!,1)),0,1)</f>
        <v>0</v>
      </c>
      <c r="Y18" s="105">
        <f>IF(ISERROR(FIND($D18,[1]processdata_2!#REF!,1)),0,1)</f>
        <v>0</v>
      </c>
      <c r="Z18" s="105">
        <f>IF(ISERROR(FIND($D18,[1]processdata_2!#REF!,1)),0,1)</f>
        <v>0</v>
      </c>
      <c r="AA18" s="105">
        <f>IF(ISERROR(FIND($D18,[1]processdata_2!#REF!,1)),0,1)</f>
        <v>0</v>
      </c>
      <c r="AB18" s="105">
        <f>IF(ISERROR(FIND($D18,[1]processdata_2!#REF!,1)),0,1)</f>
        <v>0</v>
      </c>
      <c r="AC18" s="105">
        <f>IF(ISERROR(FIND($D18,[1]processdata_2!#REF!,1)),0,1)</f>
        <v>0</v>
      </c>
      <c r="AD18" s="105">
        <f>IF(ISERROR(FIND($D18,[1]processdata_2!#REF!,1)),0,1)</f>
        <v>0</v>
      </c>
      <c r="AG18" t="s">
        <v>76</v>
      </c>
      <c r="AH18" s="1" t="s">
        <v>607</v>
      </c>
      <c r="AJ18" s="20" t="s">
        <v>663</v>
      </c>
      <c r="AK18" s="20" t="s">
        <v>768</v>
      </c>
      <c r="AN18">
        <f t="shared" ref="AN18:AN37" si="0">MATCH(AO18,D:D,0)</f>
        <v>12</v>
      </c>
      <c r="AO18" t="s">
        <v>759</v>
      </c>
      <c r="AP18" t="str">
        <f>$M$12</f>
        <v>인사시스템</v>
      </c>
      <c r="AQ18" t="str">
        <f t="shared" ref="AQ18:AQ37" si="1">"회사에서 사용하는 "&amp; AJ18&amp; "이 있다면, 그 " &amp; AK18 &amp; "의 이름을 기재 부탁 드립니다."</f>
        <v>회사에서 사용하는 인사시스템이 있다면, 그 시스템의 이름을 기재 부탁 드립니다.</v>
      </c>
      <c r="AR18" t="s">
        <v>767</v>
      </c>
    </row>
    <row r="19" spans="1:44">
      <c r="A19">
        <v>15</v>
      </c>
      <c r="B19">
        <v>1</v>
      </c>
      <c r="D19" s="18" t="s">
        <v>608</v>
      </c>
      <c r="F19" s="105" t="s">
        <v>608</v>
      </c>
      <c r="G19" s="105"/>
      <c r="H19" s="105"/>
      <c r="I19" s="105"/>
      <c r="J19" s="105"/>
      <c r="K19" s="105"/>
      <c r="L19" s="105"/>
      <c r="M19" s="105"/>
      <c r="N19" s="105"/>
      <c r="O19" s="105"/>
      <c r="P19" s="105">
        <f>IF(ISERROR(FIND($D19,[1]processdata_2!#REF!,1)),0,1)</f>
        <v>0</v>
      </c>
      <c r="Q19" s="105">
        <f>IF(ISERROR(FIND($D19,[1]processdata_2!#REF!,1)),0,1)</f>
        <v>0</v>
      </c>
      <c r="R19" s="105">
        <f>IF(ISERROR(FIND($D19,[1]processdata_2!#REF!,1)),0,1)</f>
        <v>0</v>
      </c>
      <c r="S19" s="105">
        <f>IF(ISERROR(FIND($D19,[1]processdata_2!#REF!,1)),0,1)</f>
        <v>0</v>
      </c>
      <c r="T19" s="105">
        <f>IF(ISERROR(FIND($D19,[1]processdata_2!#REF!,1)),0,1)</f>
        <v>0</v>
      </c>
      <c r="U19" s="105">
        <f>IF(ISERROR(FIND($D19,[1]processdata_2!#REF!,1)),0,1)</f>
        <v>0</v>
      </c>
      <c r="V19" s="105">
        <f>IF(ISERROR(FIND($D19,[1]processdata_2!#REF!,1)),0,1)</f>
        <v>0</v>
      </c>
      <c r="W19" s="105">
        <f>IF(ISERROR(FIND($D19,[1]processdata_2!#REF!,1)),0,1)</f>
        <v>0</v>
      </c>
      <c r="X19" s="105">
        <f>IF(ISERROR(FIND($D19,[1]processdata_2!#REF!,1)),0,1)</f>
        <v>0</v>
      </c>
      <c r="Y19" s="105">
        <f>IF(ISERROR(FIND($D19,[1]processdata_2!#REF!,1)),0,1)</f>
        <v>0</v>
      </c>
      <c r="Z19" s="105">
        <f>IF(ISERROR(FIND($D19,[1]processdata_2!#REF!,1)),0,1)</f>
        <v>0</v>
      </c>
      <c r="AA19" s="105">
        <f>IF(ISERROR(FIND($D19,[1]processdata_2!#REF!,1)),0,1)</f>
        <v>0</v>
      </c>
      <c r="AB19" s="105">
        <f>IF(ISERROR(FIND($D19,[1]processdata_2!#REF!,1)),0,1)</f>
        <v>0</v>
      </c>
      <c r="AC19" s="105">
        <f>IF(ISERROR(FIND($D19,[1]processdata_2!#REF!,1)),0,1)</f>
        <v>0</v>
      </c>
      <c r="AD19" s="105">
        <f>IF(ISERROR(FIND($D19,[1]processdata_2!#REF!,1)),0,1)</f>
        <v>0</v>
      </c>
      <c r="AG19" t="s">
        <v>76</v>
      </c>
      <c r="AH19" s="1" t="s">
        <v>609</v>
      </c>
      <c r="AJ19" s="20" t="s">
        <v>664</v>
      </c>
      <c r="AK19" s="20" t="s">
        <v>769</v>
      </c>
      <c r="AN19">
        <f t="shared" si="0"/>
        <v>14</v>
      </c>
      <c r="AO19" t="s">
        <v>738</v>
      </c>
      <c r="AP19" t="str">
        <f>$F$14</f>
        <v>인사계획서</v>
      </c>
      <c r="AQ19" t="str">
        <f t="shared" si="1"/>
        <v>회사에서 사용하는 인사계획문서명이 있다면, 그 서류의 이름을 기재 부탁 드립니다.</v>
      </c>
      <c r="AR19" t="s">
        <v>772</v>
      </c>
    </row>
    <row r="20" spans="1:44">
      <c r="A20">
        <v>16</v>
      </c>
      <c r="B20">
        <v>1</v>
      </c>
      <c r="C20" s="107"/>
      <c r="D20" s="106" t="s">
        <v>165</v>
      </c>
      <c r="E20" s="106"/>
      <c r="F20" s="105" t="s">
        <v>165</v>
      </c>
      <c r="G20" s="105"/>
      <c r="H20" s="105"/>
      <c r="I20" s="105"/>
      <c r="J20" s="105"/>
      <c r="K20" s="105"/>
      <c r="L20" s="105"/>
      <c r="M20" s="105"/>
      <c r="N20" s="105"/>
      <c r="O20" s="105"/>
      <c r="P20" s="105">
        <f>IF(ISERROR(FIND($D20,[1]processdata_2!#REF!,1)),0,1)</f>
        <v>0</v>
      </c>
      <c r="Q20" s="105">
        <f>IF(ISERROR(FIND($D20,[1]processdata_2!#REF!,1)),0,1)</f>
        <v>0</v>
      </c>
      <c r="R20" s="105">
        <f>IF(ISERROR(FIND($D20,[1]processdata_2!#REF!,1)),0,1)</f>
        <v>0</v>
      </c>
      <c r="S20" s="105">
        <f>IF(ISERROR(FIND($D20,[1]processdata_2!#REF!,1)),0,1)</f>
        <v>0</v>
      </c>
      <c r="T20" s="105">
        <f>IF(ISERROR(FIND($D20,[1]processdata_2!#REF!,1)),0,1)</f>
        <v>0</v>
      </c>
      <c r="U20" s="105">
        <f>IF(ISERROR(FIND($D20,[1]processdata_2!#REF!,1)),0,1)</f>
        <v>0</v>
      </c>
      <c r="V20" s="105">
        <f>IF(ISERROR(FIND($D20,[1]processdata_2!#REF!,1)),0,1)</f>
        <v>0</v>
      </c>
      <c r="W20" s="105">
        <f>IF(ISERROR(FIND($D20,[1]processdata_2!#REF!,1)),0,1)</f>
        <v>0</v>
      </c>
      <c r="X20" s="105">
        <f>IF(ISERROR(FIND($D20,[1]processdata_2!#REF!,1)),0,1)</f>
        <v>0</v>
      </c>
      <c r="Y20" s="105">
        <f>IF(ISERROR(FIND($D20,[1]processdata_2!#REF!,1)),0,1)</f>
        <v>0</v>
      </c>
      <c r="Z20" s="105">
        <f>IF(ISERROR(FIND($D20,[1]processdata_2!#REF!,1)),0,1)</f>
        <v>0</v>
      </c>
      <c r="AA20" s="105">
        <f>IF(ISERROR(FIND($D20,[1]processdata_2!#REF!,1)),0,1)</f>
        <v>0</v>
      </c>
      <c r="AB20" s="105">
        <f>IF(ISERROR(FIND($D20,[1]processdata_2!#REF!,1)),0,1)</f>
        <v>0</v>
      </c>
      <c r="AC20" s="105">
        <f>IF(ISERROR(FIND($D20,[1]processdata_2!#REF!,1)),0,1)</f>
        <v>0</v>
      </c>
      <c r="AD20" s="105">
        <f>IF(ISERROR(FIND($D20,[1]processdata_2!#REF!,1)),0,1)</f>
        <v>0</v>
      </c>
      <c r="AG20" t="s">
        <v>76</v>
      </c>
      <c r="AH20" s="1" t="s">
        <v>610</v>
      </c>
      <c r="AJ20" s="20" t="s">
        <v>665</v>
      </c>
      <c r="AK20" s="20" t="s">
        <v>769</v>
      </c>
      <c r="AN20">
        <f t="shared" si="0"/>
        <v>15</v>
      </c>
      <c r="AO20" t="s">
        <v>740</v>
      </c>
      <c r="AP20" t="str">
        <f>$F$15</f>
        <v>채용요청서</v>
      </c>
      <c r="AQ20" t="str">
        <f t="shared" si="1"/>
        <v>회사에서 사용하는 채용요청서명이 있다면, 그 서류의 이름을 기재 부탁 드립니다.</v>
      </c>
      <c r="AR20" t="s">
        <v>773</v>
      </c>
    </row>
    <row r="21" spans="1:44">
      <c r="A21">
        <v>17</v>
      </c>
      <c r="B21">
        <v>1</v>
      </c>
      <c r="D21" s="18" t="s">
        <v>611</v>
      </c>
      <c r="F21" s="105" t="s">
        <v>74</v>
      </c>
      <c r="G21" s="105" t="s">
        <v>117</v>
      </c>
      <c r="H21" s="105" t="s">
        <v>118</v>
      </c>
      <c r="I21" s="105" t="s">
        <v>119</v>
      </c>
      <c r="J21" s="105" t="s">
        <v>612</v>
      </c>
      <c r="K21" s="105"/>
      <c r="L21" s="105"/>
      <c r="M21" s="105"/>
      <c r="N21" s="105"/>
      <c r="O21" s="105"/>
      <c r="P21" s="105">
        <f>IF(ISERROR(FIND($D21,[1]processdata_2!#REF!,1)),0,1)</f>
        <v>0</v>
      </c>
      <c r="Q21" s="105">
        <f>IF(ISERROR(FIND($D21,[1]processdata_2!#REF!,1)),0,1)</f>
        <v>0</v>
      </c>
      <c r="R21" s="105">
        <f>IF(ISERROR(FIND($D21,[1]processdata_2!#REF!,1)),0,1)</f>
        <v>0</v>
      </c>
      <c r="S21" s="105">
        <f>IF(ISERROR(FIND($D21,[1]processdata_2!#REF!,1)),0,1)</f>
        <v>0</v>
      </c>
      <c r="T21" s="105">
        <f>IF(ISERROR(FIND($D21,[1]processdata_2!#REF!,1)),0,1)</f>
        <v>0</v>
      </c>
      <c r="U21" s="105">
        <f>IF(ISERROR(FIND($D21,[1]processdata_2!#REF!,1)),0,1)</f>
        <v>0</v>
      </c>
      <c r="V21" s="105">
        <f>IF(ISERROR(FIND($D21,[1]processdata_2!#REF!,1)),0,1)</f>
        <v>0</v>
      </c>
      <c r="W21" s="105">
        <f>IF(ISERROR(FIND($D21,[1]processdata_2!#REF!,1)),0,1)</f>
        <v>0</v>
      </c>
      <c r="X21" s="105">
        <f>IF(ISERROR(FIND($D21,[1]processdata_2!#REF!,1)),0,1)</f>
        <v>0</v>
      </c>
      <c r="Y21" s="105">
        <f>IF(ISERROR(FIND($D21,[1]processdata_2!#REF!,1)),0,1)</f>
        <v>0</v>
      </c>
      <c r="Z21" s="105">
        <f>IF(ISERROR(FIND($D21,[1]processdata_2!#REF!,1)),0,1)</f>
        <v>0</v>
      </c>
      <c r="AA21" s="105">
        <f>IF(ISERROR(FIND($D21,[1]processdata_2!#REF!,1)),0,1)</f>
        <v>0</v>
      </c>
      <c r="AB21" s="105">
        <f>IF(ISERROR(FIND($D21,[1]processdata_2!#REF!,1)),0,1)</f>
        <v>0</v>
      </c>
      <c r="AC21" s="105">
        <f>IF(ISERROR(FIND($D21,[1]processdata_2!#REF!,1)),0,1)</f>
        <v>0</v>
      </c>
      <c r="AD21" s="105">
        <f>IF(ISERROR(FIND($D21,[1]processdata_2!#REF!,1)),0,1)</f>
        <v>0</v>
      </c>
      <c r="AG21" t="s">
        <v>76</v>
      </c>
      <c r="AJ21" s="20" t="s">
        <v>666</v>
      </c>
      <c r="AK21" s="20" t="s">
        <v>769</v>
      </c>
      <c r="AN21">
        <f t="shared" si="0"/>
        <v>17</v>
      </c>
      <c r="AO21" t="s">
        <v>743</v>
      </c>
      <c r="AP21" t="str">
        <f>$F$17</f>
        <v>채용품의서</v>
      </c>
      <c r="AQ21" t="str">
        <f t="shared" si="1"/>
        <v>회사에서 사용하는 채용품의서명이 있다면, 그 서류의 이름을 기재 부탁 드립니다.</v>
      </c>
      <c r="AR21" t="s">
        <v>774</v>
      </c>
    </row>
    <row r="22" spans="1:44">
      <c r="A22">
        <v>18</v>
      </c>
      <c r="B22">
        <v>1</v>
      </c>
      <c r="D22" s="18" t="s">
        <v>613</v>
      </c>
      <c r="F22" s="105" t="s">
        <v>613</v>
      </c>
      <c r="G22" s="105"/>
      <c r="H22" s="105"/>
      <c r="I22" s="105"/>
      <c r="J22" s="105"/>
      <c r="K22" s="105"/>
      <c r="L22" s="105"/>
      <c r="M22" s="105"/>
      <c r="N22" s="105"/>
      <c r="O22" s="105"/>
      <c r="P22" s="105">
        <f>IF(ISERROR(FIND($D22,[1]processdata_2!#REF!,1)),0,1)</f>
        <v>0</v>
      </c>
      <c r="Q22" s="105">
        <f>IF(ISERROR(FIND($D22,[1]processdata_2!#REF!,1)),0,1)</f>
        <v>0</v>
      </c>
      <c r="R22" s="105">
        <f>IF(ISERROR(FIND($D22,[1]processdata_2!#REF!,1)),0,1)</f>
        <v>0</v>
      </c>
      <c r="S22" s="105">
        <f>IF(ISERROR(FIND($D22,[1]processdata_2!#REF!,1)),0,1)</f>
        <v>0</v>
      </c>
      <c r="T22" s="105">
        <f>IF(ISERROR(FIND($D22,[1]processdata_2!#REF!,1)),0,1)</f>
        <v>0</v>
      </c>
      <c r="U22" s="105">
        <f>IF(ISERROR(FIND($D22,[1]processdata_2!#REF!,1)),0,1)</f>
        <v>0</v>
      </c>
      <c r="V22" s="105">
        <f>IF(ISERROR(FIND($D22,[1]processdata_2!#REF!,1)),0,1)</f>
        <v>0</v>
      </c>
      <c r="W22" s="105">
        <f>IF(ISERROR(FIND($D22,[1]processdata_2!#REF!,1)),0,1)</f>
        <v>0</v>
      </c>
      <c r="X22" s="105">
        <f>IF(ISERROR(FIND($D22,[1]processdata_2!#REF!,1)),0,1)</f>
        <v>0</v>
      </c>
      <c r="Y22" s="105">
        <f>IF(ISERROR(FIND($D22,[1]processdata_2!#REF!,1)),0,1)</f>
        <v>0</v>
      </c>
      <c r="Z22" s="105">
        <f>IF(ISERROR(FIND($D22,[1]processdata_2!#REF!,1)),0,1)</f>
        <v>0</v>
      </c>
      <c r="AA22" s="105">
        <f>IF(ISERROR(FIND($D22,[1]processdata_2!#REF!,1)),0,1)</f>
        <v>0</v>
      </c>
      <c r="AB22" s="105">
        <f>IF(ISERROR(FIND($D22,[1]processdata_2!#REF!,1)),0,1)</f>
        <v>0</v>
      </c>
      <c r="AC22" s="105">
        <f>IF(ISERROR(FIND($D22,[1]processdata_2!#REF!,1)),0,1)</f>
        <v>0</v>
      </c>
      <c r="AD22" s="105">
        <f>IF(ISERROR(FIND($D22,[1]processdata_2!#REF!,1)),0,1)</f>
        <v>0</v>
      </c>
      <c r="AG22" t="s">
        <v>76</v>
      </c>
      <c r="AH22" s="1" t="s">
        <v>614</v>
      </c>
      <c r="AJ22" s="20" t="s">
        <v>667</v>
      </c>
      <c r="AK22" s="20" t="s">
        <v>769</v>
      </c>
      <c r="AN22">
        <f t="shared" si="0"/>
        <v>18</v>
      </c>
      <c r="AO22" t="s">
        <v>744</v>
      </c>
      <c r="AP22" t="str">
        <f>$F$18</f>
        <v>임직원평가내역서</v>
      </c>
      <c r="AQ22" t="str">
        <f t="shared" si="1"/>
        <v>회사에서 사용하는 임직원평가내역서명이 있다면, 그 서류의 이름을 기재 부탁 드립니다.</v>
      </c>
      <c r="AR22" t="s">
        <v>775</v>
      </c>
    </row>
    <row r="23" spans="1:44">
      <c r="A23">
        <v>19</v>
      </c>
      <c r="B23">
        <v>1</v>
      </c>
      <c r="D23" s="18" t="s">
        <v>615</v>
      </c>
      <c r="F23" s="105" t="s">
        <v>336</v>
      </c>
      <c r="G23" s="105" t="s">
        <v>338</v>
      </c>
      <c r="H23" s="105" t="s">
        <v>337</v>
      </c>
      <c r="I23" s="105"/>
      <c r="J23" s="105"/>
      <c r="K23" s="105"/>
      <c r="L23" s="105"/>
      <c r="M23" s="105"/>
      <c r="N23" s="105"/>
      <c r="O23" s="105"/>
      <c r="P23" s="105">
        <f>IF(ISERROR(FIND($D23,[1]processdata_2!#REF!,1)),0,1)</f>
        <v>0</v>
      </c>
      <c r="Q23" s="105">
        <f>IF(ISERROR(FIND($D23,[1]processdata_2!#REF!,1)),0,1)</f>
        <v>0</v>
      </c>
      <c r="R23" s="105">
        <f>IF(ISERROR(FIND($D23,[1]processdata_2!#REF!,1)),0,1)</f>
        <v>0</v>
      </c>
      <c r="S23" s="105">
        <f>IF(ISERROR(FIND($D23,[1]processdata_2!#REF!,1)),0,1)</f>
        <v>0</v>
      </c>
      <c r="T23" s="105">
        <f>IF(ISERROR(FIND($D23,[1]processdata_2!#REF!,1)),0,1)</f>
        <v>0</v>
      </c>
      <c r="U23" s="105">
        <f>IF(ISERROR(FIND($D23,[1]processdata_2!#REF!,1)),0,1)</f>
        <v>0</v>
      </c>
      <c r="V23" s="105">
        <f>IF(ISERROR(FIND($D23,[1]processdata_2!#REF!,1)),0,1)</f>
        <v>0</v>
      </c>
      <c r="W23" s="105">
        <f>IF(ISERROR(FIND($D23,[1]processdata_2!#REF!,1)),0,1)</f>
        <v>0</v>
      </c>
      <c r="X23" s="105">
        <f>IF(ISERROR(FIND($D23,[1]processdata_2!#REF!,1)),0,1)</f>
        <v>0</v>
      </c>
      <c r="Y23" s="105">
        <f>IF(ISERROR(FIND($D23,[1]processdata_2!#REF!,1)),0,1)</f>
        <v>0</v>
      </c>
      <c r="Z23" s="105">
        <f>IF(ISERROR(FIND($D23,[1]processdata_2!#REF!,1)),0,1)</f>
        <v>0</v>
      </c>
      <c r="AA23" s="105">
        <f>IF(ISERROR(FIND($D23,[1]processdata_2!#REF!,1)),0,1)</f>
        <v>0</v>
      </c>
      <c r="AB23" s="105">
        <f>IF(ISERROR(FIND($D23,[1]processdata_2!#REF!,1)),0,1)</f>
        <v>0</v>
      </c>
      <c r="AC23" s="105">
        <f>IF(ISERROR(FIND($D23,[1]processdata_2!#REF!,1)),0,1)</f>
        <v>0</v>
      </c>
      <c r="AD23" s="105">
        <f>IF(ISERROR(FIND($D23,[1]processdata_2!#REF!,1)),0,1)</f>
        <v>0</v>
      </c>
      <c r="AG23" t="s">
        <v>81</v>
      </c>
      <c r="AJ23" s="20" t="s">
        <v>668</v>
      </c>
      <c r="AK23" s="20" t="s">
        <v>769</v>
      </c>
      <c r="AN23">
        <f t="shared" si="0"/>
        <v>19</v>
      </c>
      <c r="AO23" t="s">
        <v>745</v>
      </c>
      <c r="AP23" t="str">
        <f>F19</f>
        <v>승급추천서</v>
      </c>
      <c r="AQ23" t="str">
        <f t="shared" si="1"/>
        <v>회사에서 사용하는 승급추천서명이 있다면, 그 서류의 이름을 기재 부탁 드립니다.</v>
      </c>
      <c r="AR23" t="s">
        <v>776</v>
      </c>
    </row>
    <row r="24" spans="1:44">
      <c r="A24">
        <v>20</v>
      </c>
      <c r="B24">
        <v>1</v>
      </c>
      <c r="D24" s="18" t="s">
        <v>616</v>
      </c>
      <c r="F24" s="105" t="s">
        <v>616</v>
      </c>
      <c r="G24" s="105" t="s">
        <v>617</v>
      </c>
      <c r="H24" s="105"/>
      <c r="I24" s="105"/>
      <c r="J24" s="105"/>
      <c r="K24" s="105"/>
      <c r="L24" s="105"/>
      <c r="M24" s="105"/>
      <c r="N24" s="105"/>
      <c r="O24" s="105"/>
      <c r="P24" s="105">
        <f>IF(ISERROR(FIND($D24,[1]processdata_2!#REF!,1)),0,1)</f>
        <v>0</v>
      </c>
      <c r="Q24" s="105">
        <f>IF(ISERROR(FIND($D24,[1]processdata_2!#REF!,1)),0,1)</f>
        <v>0</v>
      </c>
      <c r="R24" s="105">
        <f>IF(ISERROR(FIND($D24,[1]processdata_2!#REF!,1)),0,1)</f>
        <v>0</v>
      </c>
      <c r="S24" s="105">
        <f>IF(ISERROR(FIND($D24,[1]processdata_2!#REF!,1)),0,1)</f>
        <v>0</v>
      </c>
      <c r="T24" s="105">
        <f>IF(ISERROR(FIND($D24,[1]processdata_2!#REF!,1)),0,1)</f>
        <v>0</v>
      </c>
      <c r="U24" s="105">
        <f>IF(ISERROR(FIND($D24,[1]processdata_2!#REF!,1)),0,1)</f>
        <v>0</v>
      </c>
      <c r="V24" s="105">
        <f>IF(ISERROR(FIND($D24,[1]processdata_2!#REF!,1)),0,1)</f>
        <v>0</v>
      </c>
      <c r="W24" s="105">
        <f>IF(ISERROR(FIND($D24,[1]processdata_2!#REF!,1)),0,1)</f>
        <v>0</v>
      </c>
      <c r="X24" s="105">
        <f>IF(ISERROR(FIND($D24,[1]processdata_2!#REF!,1)),0,1)</f>
        <v>0</v>
      </c>
      <c r="Y24" s="105">
        <f>IF(ISERROR(FIND($D24,[1]processdata_2!#REF!,1)),0,1)</f>
        <v>0</v>
      </c>
      <c r="Z24" s="105">
        <f>IF(ISERROR(FIND($D24,[1]processdata_2!#REF!,1)),0,1)</f>
        <v>0</v>
      </c>
      <c r="AA24" s="105">
        <f>IF(ISERROR(FIND($D24,[1]processdata_2!#REF!,1)),0,1)</f>
        <v>0</v>
      </c>
      <c r="AB24" s="105">
        <f>IF(ISERROR(FIND($D24,[1]processdata_2!#REF!,1)),0,1)</f>
        <v>0</v>
      </c>
      <c r="AC24" s="105">
        <f>IF(ISERROR(FIND($D24,[1]processdata_2!#REF!,1)),0,1)</f>
        <v>0</v>
      </c>
      <c r="AD24" s="105">
        <f>IF(ISERROR(FIND($D24,[1]processdata_2!#REF!,1)),0,1)</f>
        <v>0</v>
      </c>
      <c r="AG24" t="s">
        <v>70</v>
      </c>
      <c r="AH24" s="1" t="s">
        <v>618</v>
      </c>
      <c r="AJ24" s="20" t="s">
        <v>669</v>
      </c>
      <c r="AK24" s="20" t="s">
        <v>769</v>
      </c>
      <c r="AN24">
        <f t="shared" si="0"/>
        <v>20</v>
      </c>
      <c r="AO24" t="s">
        <v>746</v>
      </c>
      <c r="AP24" t="str">
        <f>F20</f>
        <v>인사변경품의서</v>
      </c>
      <c r="AQ24" t="str">
        <f t="shared" si="1"/>
        <v>회사에서 사용하는 인사변경품의서명이 있다면, 그 서류의 이름을 기재 부탁 드립니다.</v>
      </c>
      <c r="AR24" t="s">
        <v>777</v>
      </c>
    </row>
    <row r="25" spans="1:44">
      <c r="A25">
        <v>21</v>
      </c>
      <c r="B25">
        <v>1</v>
      </c>
      <c r="D25" s="18" t="s">
        <v>619</v>
      </c>
      <c r="F25" s="105" t="s">
        <v>619</v>
      </c>
      <c r="G25" s="105"/>
      <c r="H25" s="105"/>
      <c r="I25" s="105"/>
      <c r="J25" s="105"/>
      <c r="K25" s="105"/>
      <c r="L25" s="105"/>
      <c r="M25" s="105"/>
      <c r="N25" s="105"/>
      <c r="O25" s="105"/>
      <c r="P25" s="105">
        <f>IF(ISERROR(FIND($D25,[1]processdata_2!#REF!,1)),0,1)</f>
        <v>0</v>
      </c>
      <c r="Q25" s="105">
        <f>IF(ISERROR(FIND($D25,[1]processdata_2!#REF!,1)),0,1)</f>
        <v>0</v>
      </c>
      <c r="R25" s="105">
        <f>IF(ISERROR(FIND($D25,[1]processdata_2!#REF!,1)),0,1)</f>
        <v>0</v>
      </c>
      <c r="S25" s="105">
        <f>IF(ISERROR(FIND($D25,[1]processdata_2!#REF!,1)),0,1)</f>
        <v>0</v>
      </c>
      <c r="T25" s="105">
        <f>IF(ISERROR(FIND($D25,[1]processdata_2!#REF!,1)),0,1)</f>
        <v>0</v>
      </c>
      <c r="U25" s="105">
        <f>IF(ISERROR(FIND($D25,[1]processdata_2!#REF!,1)),0,1)</f>
        <v>0</v>
      </c>
      <c r="V25" s="105">
        <f>IF(ISERROR(FIND($D25,[1]processdata_2!#REF!,1)),0,1)</f>
        <v>0</v>
      </c>
      <c r="W25" s="105">
        <f>IF(ISERROR(FIND($D25,[1]processdata_2!#REF!,1)),0,1)</f>
        <v>0</v>
      </c>
      <c r="X25" s="105">
        <f>IF(ISERROR(FIND($D25,[1]processdata_2!#REF!,1)),0,1)</f>
        <v>0</v>
      </c>
      <c r="Y25" s="105">
        <f>IF(ISERROR(FIND($D25,[1]processdata_2!#REF!,1)),0,1)</f>
        <v>0</v>
      </c>
      <c r="Z25" s="105">
        <f>IF(ISERROR(FIND($D25,[1]processdata_2!#REF!,1)),0,1)</f>
        <v>0</v>
      </c>
      <c r="AA25" s="105">
        <f>IF(ISERROR(FIND($D25,[1]processdata_2!#REF!,1)),0,1)</f>
        <v>0</v>
      </c>
      <c r="AB25" s="105">
        <f>IF(ISERROR(FIND($D25,[1]processdata_2!#REF!,1)),0,1)</f>
        <v>0</v>
      </c>
      <c r="AC25" s="105">
        <f>IF(ISERROR(FIND($D25,[1]processdata_2!#REF!,1)),0,1)</f>
        <v>0</v>
      </c>
      <c r="AD25" s="105">
        <f>IF(ISERROR(FIND($D25,[1]processdata_2!#REF!,1)),0,1)</f>
        <v>0</v>
      </c>
      <c r="AG25" t="s">
        <v>70</v>
      </c>
      <c r="AH25" s="1" t="s">
        <v>620</v>
      </c>
      <c r="AJ25" s="20" t="s">
        <v>670</v>
      </c>
      <c r="AK25" s="20" t="s">
        <v>769</v>
      </c>
      <c r="AN25">
        <f t="shared" si="0"/>
        <v>22</v>
      </c>
      <c r="AO25" t="s">
        <v>749</v>
      </c>
      <c r="AP25" t="str">
        <f>$F$22</f>
        <v>인사발령문서</v>
      </c>
      <c r="AQ25" t="str">
        <f t="shared" si="1"/>
        <v>회사에서 사용하는 인사발령문서명이 있다면, 그 서류의 이름을 기재 부탁 드립니다.</v>
      </c>
      <c r="AR25" t="s">
        <v>778</v>
      </c>
    </row>
    <row r="26" spans="1:44">
      <c r="A26">
        <v>22</v>
      </c>
      <c r="B26">
        <v>1</v>
      </c>
      <c r="D26" s="18" t="s">
        <v>621</v>
      </c>
      <c r="F26" s="105" t="s">
        <v>621</v>
      </c>
      <c r="G26" s="105"/>
      <c r="H26" s="105"/>
      <c r="I26" s="105"/>
      <c r="J26" s="105"/>
      <c r="K26" s="105"/>
      <c r="L26" s="105"/>
      <c r="M26" s="105"/>
      <c r="N26" s="105"/>
      <c r="O26" s="105"/>
      <c r="P26" s="105">
        <f>IF(ISERROR(FIND($D26,[1]processdata_2!#REF!,1)),0,1)</f>
        <v>0</v>
      </c>
      <c r="Q26" s="105">
        <f>IF(ISERROR(FIND($D26,[1]processdata_2!#REF!,1)),0,1)</f>
        <v>0</v>
      </c>
      <c r="R26" s="105">
        <f>IF(ISERROR(FIND($D26,[1]processdata_2!#REF!,1)),0,1)</f>
        <v>0</v>
      </c>
      <c r="S26" s="105">
        <f>IF(ISERROR(FIND($D26,[1]processdata_2!#REF!,1)),0,1)</f>
        <v>0</v>
      </c>
      <c r="T26" s="105">
        <f>IF(ISERROR(FIND($D26,[1]processdata_2!#REF!,1)),0,1)</f>
        <v>0</v>
      </c>
      <c r="U26" s="105">
        <f>IF(ISERROR(FIND($D26,[1]processdata_2!#REF!,1)),0,1)</f>
        <v>0</v>
      </c>
      <c r="V26" s="105">
        <f>IF(ISERROR(FIND($D26,[1]processdata_2!#REF!,1)),0,1)</f>
        <v>0</v>
      </c>
      <c r="W26" s="105">
        <f>IF(ISERROR(FIND($D26,[1]processdata_2!#REF!,1)),0,1)</f>
        <v>0</v>
      </c>
      <c r="X26" s="105">
        <f>IF(ISERROR(FIND($D26,[1]processdata_2!#REF!,1)),0,1)</f>
        <v>0</v>
      </c>
      <c r="Y26" s="105">
        <f>IF(ISERROR(FIND($D26,[1]processdata_2!#REF!,1)),0,1)</f>
        <v>0</v>
      </c>
      <c r="Z26" s="105">
        <f>IF(ISERROR(FIND($D26,[1]processdata_2!#REF!,1)),0,1)</f>
        <v>0</v>
      </c>
      <c r="AA26" s="105">
        <f>IF(ISERROR(FIND($D26,[1]processdata_2!#REF!,1)),0,1)</f>
        <v>0</v>
      </c>
      <c r="AB26" s="105">
        <f>IF(ISERROR(FIND($D26,[1]processdata_2!#REF!,1)),0,1)</f>
        <v>0</v>
      </c>
      <c r="AC26" s="105">
        <f>IF(ISERROR(FIND($D26,[1]processdata_2!#REF!,1)),0,1)</f>
        <v>0</v>
      </c>
      <c r="AD26" s="105">
        <f>IF(ISERROR(FIND($D26,[1]processdata_2!#REF!,1)),0,1)</f>
        <v>0</v>
      </c>
      <c r="AG26" t="s">
        <v>70</v>
      </c>
      <c r="AH26" s="1" t="s">
        <v>622</v>
      </c>
      <c r="AJ26" s="20" t="s">
        <v>671</v>
      </c>
      <c r="AK26" s="20" t="s">
        <v>768</v>
      </c>
      <c r="AN26">
        <f t="shared" si="0"/>
        <v>24</v>
      </c>
      <c r="AO26" t="s">
        <v>750</v>
      </c>
      <c r="AP26" t="str">
        <f>$F$24</f>
        <v>급여계산프로그램</v>
      </c>
      <c r="AQ26" t="str">
        <f t="shared" si="1"/>
        <v>회사에서 사용하는 급여계산프로그램명이 있다면, 그 시스템의 이름을 기재 부탁 드립니다.</v>
      </c>
      <c r="AR26" t="s">
        <v>779</v>
      </c>
    </row>
    <row r="27" spans="1:44">
      <c r="A27">
        <v>23</v>
      </c>
      <c r="B27">
        <v>1</v>
      </c>
      <c r="C27" s="111" t="s">
        <v>623</v>
      </c>
      <c r="D27" s="18" t="s">
        <v>624</v>
      </c>
      <c r="F27" s="105" t="s">
        <v>624</v>
      </c>
      <c r="G27" s="105"/>
      <c r="H27" s="105"/>
      <c r="I27" s="105"/>
      <c r="J27" s="105"/>
      <c r="K27" s="105"/>
      <c r="L27" s="105"/>
      <c r="M27" s="105"/>
      <c r="N27" s="105"/>
      <c r="O27" s="105"/>
      <c r="P27" s="105">
        <f>IF(ISERROR(FIND($D27,[1]processdata_2!#REF!,1)),0,1)</f>
        <v>0</v>
      </c>
      <c r="Q27" s="105">
        <f>IF(ISERROR(FIND($D27,[1]processdata_2!#REF!,1)),0,1)</f>
        <v>0</v>
      </c>
      <c r="R27" s="105">
        <f>IF(ISERROR(FIND($D27,[1]processdata_2!#REF!,1)),0,1)</f>
        <v>0</v>
      </c>
      <c r="S27" s="105">
        <f>IF(ISERROR(FIND($D27,[1]processdata_2!#REF!,1)),0,1)</f>
        <v>0</v>
      </c>
      <c r="T27" s="105">
        <f>IF(ISERROR(FIND($D27,[1]processdata_2!#REF!,1)),0,1)</f>
        <v>0</v>
      </c>
      <c r="U27" s="105">
        <f>IF(ISERROR(FIND($D27,[1]processdata_2!#REF!,1)),0,1)</f>
        <v>0</v>
      </c>
      <c r="V27" s="105">
        <f>IF(ISERROR(FIND($D27,[1]processdata_2!#REF!,1)),0,1)</f>
        <v>0</v>
      </c>
      <c r="W27" s="105">
        <f>IF(ISERROR(FIND($D27,[1]processdata_2!#REF!,1)),0,1)</f>
        <v>0</v>
      </c>
      <c r="X27" s="105">
        <f>IF(ISERROR(FIND($D27,[1]processdata_2!#REF!,1)),0,1)</f>
        <v>0</v>
      </c>
      <c r="Y27" s="105">
        <f>IF(ISERROR(FIND($D27,[1]processdata_2!#REF!,1)),0,1)</f>
        <v>0</v>
      </c>
      <c r="Z27" s="105">
        <f>IF(ISERROR(FIND($D27,[1]processdata_2!#REF!,1)),0,1)</f>
        <v>0</v>
      </c>
      <c r="AA27" s="105">
        <f>IF(ISERROR(FIND($D27,[1]processdata_2!#REF!,1)),0,1)</f>
        <v>0</v>
      </c>
      <c r="AB27" s="105">
        <f>IF(ISERROR(FIND($D27,[1]processdata_2!#REF!,1)),0,1)</f>
        <v>0</v>
      </c>
      <c r="AC27" s="105">
        <f>IF(ISERROR(FIND($D27,[1]processdata_2!#REF!,1)),0,1)</f>
        <v>0</v>
      </c>
      <c r="AD27" s="105">
        <f>IF(ISERROR(FIND($D27,[1]processdata_2!#REF!,1)),0,1)</f>
        <v>0</v>
      </c>
      <c r="AG27" t="s">
        <v>70</v>
      </c>
      <c r="AH27" s="1" t="s">
        <v>625</v>
      </c>
      <c r="AJ27" s="20" t="s">
        <v>672</v>
      </c>
      <c r="AK27" s="20" t="s">
        <v>769</v>
      </c>
      <c r="AN27">
        <f t="shared" si="0"/>
        <v>25</v>
      </c>
      <c r="AO27" t="s">
        <v>751</v>
      </c>
      <c r="AP27" t="str">
        <f>$F$25</f>
        <v>급여집계표</v>
      </c>
      <c r="AQ27" t="str">
        <f t="shared" si="1"/>
        <v>회사에서 사용하는 급여집계표명이 있다면, 그 서류의 이름을 기재 부탁 드립니다.</v>
      </c>
      <c r="AR27" t="s">
        <v>780</v>
      </c>
    </row>
    <row r="28" spans="1:44">
      <c r="A28">
        <v>24</v>
      </c>
      <c r="B28">
        <v>1</v>
      </c>
      <c r="C28" s="111"/>
      <c r="D28" s="18" t="s">
        <v>626</v>
      </c>
      <c r="F28" s="105" t="s">
        <v>594</v>
      </c>
      <c r="G28" s="105" t="s">
        <v>627</v>
      </c>
      <c r="H28" s="105"/>
      <c r="I28" s="105"/>
      <c r="J28" s="105"/>
      <c r="K28" s="105"/>
      <c r="L28" s="105"/>
      <c r="M28" s="105"/>
      <c r="N28" s="105"/>
      <c r="O28" s="105"/>
      <c r="P28" s="105">
        <f>IF(ISERROR(FIND($D28,[1]processdata_2!#REF!,1)),0,1)</f>
        <v>0</v>
      </c>
      <c r="Q28" s="105">
        <f>IF(ISERROR(FIND($D28,[1]processdata_2!#REF!,1)),0,1)</f>
        <v>0</v>
      </c>
      <c r="R28" s="105">
        <f>IF(ISERROR(FIND($D28,[1]processdata_2!#REF!,1)),0,1)</f>
        <v>0</v>
      </c>
      <c r="S28" s="105">
        <f>IF(ISERROR(FIND($D28,[1]processdata_2!#REF!,1)),0,1)</f>
        <v>0</v>
      </c>
      <c r="T28" s="105">
        <f>IF(ISERROR(FIND($D28,[1]processdata_2!#REF!,1)),0,1)</f>
        <v>0</v>
      </c>
      <c r="U28" s="105">
        <f>IF(ISERROR(FIND($D28,[1]processdata_2!#REF!,1)),0,1)</f>
        <v>0</v>
      </c>
      <c r="V28" s="105">
        <f>IF(ISERROR(FIND($D28,[1]processdata_2!#REF!,1)),0,1)</f>
        <v>0</v>
      </c>
      <c r="W28" s="105">
        <f>IF(ISERROR(FIND($D28,[1]processdata_2!#REF!,1)),0,1)</f>
        <v>0</v>
      </c>
      <c r="X28" s="105">
        <f>IF(ISERROR(FIND($D28,[1]processdata_2!#REF!,1)),0,1)</f>
        <v>0</v>
      </c>
      <c r="Y28" s="105">
        <f>IF(ISERROR(FIND($D28,[1]processdata_2!#REF!,1)),0,1)</f>
        <v>0</v>
      </c>
      <c r="Z28" s="105">
        <f>IF(ISERROR(FIND($D28,[1]processdata_2!#REF!,1)),0,1)</f>
        <v>0</v>
      </c>
      <c r="AA28" s="105">
        <f>IF(ISERROR(FIND($D28,[1]processdata_2!#REF!,1)),0,1)</f>
        <v>0</v>
      </c>
      <c r="AB28" s="105">
        <f>IF(ISERROR(FIND($D28,[1]processdata_2!#REF!,1)),0,1)</f>
        <v>0</v>
      </c>
      <c r="AC28" s="105">
        <f>IF(ISERROR(FIND($D28,[1]processdata_2!#REF!,1)),0,1)</f>
        <v>0</v>
      </c>
      <c r="AD28" s="105">
        <f>IF(ISERROR(FIND($D28,[1]processdata_2!#REF!,1)),0,1)</f>
        <v>0</v>
      </c>
      <c r="AG28" t="s">
        <v>70</v>
      </c>
      <c r="AJ28" s="20" t="s">
        <v>673</v>
      </c>
      <c r="AK28" s="20" t="s">
        <v>769</v>
      </c>
      <c r="AN28">
        <f t="shared" si="0"/>
        <v>26</v>
      </c>
      <c r="AO28" t="s">
        <v>752</v>
      </c>
      <c r="AP28" t="str">
        <f>$F$26</f>
        <v>연차수당계산파일</v>
      </c>
      <c r="AQ28" t="str">
        <f t="shared" si="1"/>
        <v>회사에서 사용하는 연차수당계산파일명이 있다면, 그 서류의 이름을 기재 부탁 드립니다.</v>
      </c>
      <c r="AR28" t="s">
        <v>781</v>
      </c>
    </row>
    <row r="29" spans="1:44">
      <c r="A29">
        <v>25</v>
      </c>
      <c r="B29">
        <v>1</v>
      </c>
      <c r="C29" s="111"/>
      <c r="D29" s="18" t="s">
        <v>628</v>
      </c>
      <c r="F29" s="105" t="s">
        <v>629</v>
      </c>
      <c r="G29" s="105"/>
      <c r="H29" s="105"/>
      <c r="I29" s="105"/>
      <c r="J29" s="105"/>
      <c r="K29" s="105"/>
      <c r="L29" s="105"/>
      <c r="M29" s="105"/>
      <c r="N29" s="105"/>
      <c r="O29" s="105"/>
      <c r="P29" s="105">
        <f>IF(ISERROR(FIND($D29,[1]processdata_2!#REF!,1)),0,1)</f>
        <v>0</v>
      </c>
      <c r="Q29" s="105">
        <f>IF(ISERROR(FIND($D29,[1]processdata_2!#REF!,1)),0,1)</f>
        <v>0</v>
      </c>
      <c r="R29" s="105">
        <f>IF(ISERROR(FIND($D29,[1]processdata_2!#REF!,1)),0,1)</f>
        <v>0</v>
      </c>
      <c r="S29" s="105">
        <f>IF(ISERROR(FIND($D29,[1]processdata_2!#REF!,1)),0,1)</f>
        <v>0</v>
      </c>
      <c r="T29" s="105">
        <f>IF(ISERROR(FIND($D29,[1]processdata_2!#REF!,1)),0,1)</f>
        <v>0</v>
      </c>
      <c r="U29" s="105">
        <f>IF(ISERROR(FIND($D29,[1]processdata_2!#REF!,1)),0,1)</f>
        <v>0</v>
      </c>
      <c r="V29" s="105">
        <f>IF(ISERROR(FIND($D29,[1]processdata_2!#REF!,1)),0,1)</f>
        <v>0</v>
      </c>
      <c r="W29" s="105">
        <f>IF(ISERROR(FIND($D29,[1]processdata_2!#REF!,1)),0,1)</f>
        <v>0</v>
      </c>
      <c r="X29" s="105">
        <f>IF(ISERROR(FIND($D29,[1]processdata_2!#REF!,1)),0,1)</f>
        <v>0</v>
      </c>
      <c r="Y29" s="105">
        <f>IF(ISERROR(FIND($D29,[1]processdata_2!#REF!,1)),0,1)</f>
        <v>0</v>
      </c>
      <c r="Z29" s="105">
        <f>IF(ISERROR(FIND($D29,[1]processdata_2!#REF!,1)),0,1)</f>
        <v>0</v>
      </c>
      <c r="AA29" s="105">
        <f>IF(ISERROR(FIND($D29,[1]processdata_2!#REF!,1)),0,1)</f>
        <v>0</v>
      </c>
      <c r="AB29" s="105">
        <f>IF(ISERROR(FIND($D29,[1]processdata_2!#REF!,1)),0,1)</f>
        <v>0</v>
      </c>
      <c r="AC29" s="105">
        <f>IF(ISERROR(FIND($D29,[1]processdata_2!#REF!,1)),0,1)</f>
        <v>0</v>
      </c>
      <c r="AD29" s="105">
        <f>IF(ISERROR(FIND($D29,[1]processdata_2!#REF!,1)),0,1)</f>
        <v>0</v>
      </c>
      <c r="AG29" t="s">
        <v>70</v>
      </c>
      <c r="AH29" s="1" t="s">
        <v>630</v>
      </c>
      <c r="AJ29" s="20" t="s">
        <v>674</v>
      </c>
      <c r="AK29" s="20" t="s">
        <v>770</v>
      </c>
      <c r="AN29">
        <f t="shared" si="0"/>
        <v>27</v>
      </c>
      <c r="AO29" t="s">
        <v>761</v>
      </c>
      <c r="AP29" t="str">
        <f>$F$27</f>
        <v>인사_아웃소싱업체</v>
      </c>
      <c r="AQ29" t="str">
        <f t="shared" si="1"/>
        <v>회사에서 사용하는 외부아웃소싱업체명이 있다면, 그 거래처의 이름을 기재 부탁 드립니다.</v>
      </c>
      <c r="AR29" t="s">
        <v>782</v>
      </c>
    </row>
    <row r="30" spans="1:44">
      <c r="A30">
        <v>26</v>
      </c>
      <c r="B30">
        <v>1</v>
      </c>
      <c r="D30" s="18" t="s">
        <v>631</v>
      </c>
      <c r="F30" s="105" t="s">
        <v>631</v>
      </c>
      <c r="G30" s="105"/>
      <c r="H30" s="105"/>
      <c r="I30" s="105"/>
      <c r="J30" s="105"/>
      <c r="K30" s="105"/>
      <c r="L30" s="105"/>
      <c r="M30" s="105"/>
      <c r="N30" s="105"/>
      <c r="O30" s="105"/>
      <c r="P30" s="105">
        <f>IF(ISERROR(FIND($D30,[1]processdata_2!#REF!,1)),0,1)</f>
        <v>0</v>
      </c>
      <c r="Q30" s="105">
        <f>IF(ISERROR(FIND($D30,[1]processdata_2!#REF!,1)),0,1)</f>
        <v>0</v>
      </c>
      <c r="R30" s="105">
        <f>IF(ISERROR(FIND($D30,[1]processdata_2!#REF!,1)),0,1)</f>
        <v>0</v>
      </c>
      <c r="S30" s="105">
        <f>IF(ISERROR(FIND($D30,[1]processdata_2!#REF!,1)),0,1)</f>
        <v>0</v>
      </c>
      <c r="T30" s="105">
        <f>IF(ISERROR(FIND($D30,[1]processdata_2!#REF!,1)),0,1)</f>
        <v>0</v>
      </c>
      <c r="U30" s="105">
        <f>IF(ISERROR(FIND($D30,[1]processdata_2!#REF!,1)),0,1)</f>
        <v>0</v>
      </c>
      <c r="V30" s="105">
        <f>IF(ISERROR(FIND($D30,[1]processdata_2!#REF!,1)),0,1)</f>
        <v>0</v>
      </c>
      <c r="W30" s="105">
        <f>IF(ISERROR(FIND($D30,[1]processdata_2!#REF!,1)),0,1)</f>
        <v>0</v>
      </c>
      <c r="X30" s="105">
        <f>IF(ISERROR(FIND($D30,[1]processdata_2!#REF!,1)),0,1)</f>
        <v>0</v>
      </c>
      <c r="Y30" s="105">
        <f>IF(ISERROR(FIND($D30,[1]processdata_2!#REF!,1)),0,1)</f>
        <v>0</v>
      </c>
      <c r="Z30" s="105">
        <f>IF(ISERROR(FIND($D30,[1]processdata_2!#REF!,1)),0,1)</f>
        <v>0</v>
      </c>
      <c r="AA30" s="105">
        <f>IF(ISERROR(FIND($D30,[1]processdata_2!#REF!,1)),0,1)</f>
        <v>0</v>
      </c>
      <c r="AB30" s="105">
        <f>IF(ISERROR(FIND($D30,[1]processdata_2!#REF!,1)),0,1)</f>
        <v>0</v>
      </c>
      <c r="AC30" s="105">
        <f>IF(ISERROR(FIND($D30,[1]processdata_2!#REF!,1)),0,1)</f>
        <v>0</v>
      </c>
      <c r="AD30" s="105">
        <f>IF(ISERROR(FIND($D30,[1]processdata_2!#REF!,1)),0,1)</f>
        <v>0</v>
      </c>
      <c r="AG30" t="s">
        <v>70</v>
      </c>
      <c r="AH30" s="1" t="s">
        <v>632</v>
      </c>
      <c r="AJ30" s="20" t="s">
        <v>675</v>
      </c>
      <c r="AK30" s="20" t="s">
        <v>769</v>
      </c>
      <c r="AN30">
        <f t="shared" si="0"/>
        <v>29</v>
      </c>
      <c r="AO30" t="s">
        <v>763</v>
      </c>
      <c r="AP30" t="str">
        <f>$F$29</f>
        <v>아웃소싱급여계산내역명</v>
      </c>
      <c r="AQ30" t="str">
        <f t="shared" si="1"/>
        <v>회사에서 사용하는 외부아웃소싱업체로부터 받은 급여계산파일명이 있다면, 그 서류의 이름을 기재 부탁 드립니다.</v>
      </c>
      <c r="AR30" t="s">
        <v>783</v>
      </c>
    </row>
    <row r="31" spans="1:44">
      <c r="A31">
        <v>27</v>
      </c>
      <c r="B31">
        <v>1</v>
      </c>
      <c r="D31" s="18" t="s">
        <v>633</v>
      </c>
      <c r="F31" s="105" t="s">
        <v>633</v>
      </c>
      <c r="P31" s="105">
        <f>IF(ISERROR(FIND($D31,[1]processdata_2!#REF!,1)),0,1)</f>
        <v>0</v>
      </c>
      <c r="Q31" s="105">
        <f>IF(ISERROR(FIND($D31,[1]processdata_2!#REF!,1)),0,1)</f>
        <v>0</v>
      </c>
      <c r="R31" s="105">
        <f>IF(ISERROR(FIND($D31,[1]processdata_2!#REF!,1)),0,1)</f>
        <v>0</v>
      </c>
      <c r="S31" s="105">
        <f>IF(ISERROR(FIND($D31,[1]processdata_2!#REF!,1)),0,1)</f>
        <v>0</v>
      </c>
      <c r="T31" s="105">
        <f>IF(ISERROR(FIND($D31,[1]processdata_2!#REF!,1)),0,1)</f>
        <v>0</v>
      </c>
      <c r="U31" s="105">
        <f>IF(ISERROR(FIND($D31,[1]processdata_2!#REF!,1)),0,1)</f>
        <v>0</v>
      </c>
      <c r="V31" s="105">
        <f>IF(ISERROR(FIND($D31,[1]processdata_2!#REF!,1)),0,1)</f>
        <v>0</v>
      </c>
      <c r="W31" s="105">
        <f>IF(ISERROR(FIND($D31,[1]processdata_2!#REF!,1)),0,1)</f>
        <v>0</v>
      </c>
      <c r="X31" s="105">
        <f>IF(ISERROR(FIND($D31,[1]processdata_2!#REF!,1)),0,1)</f>
        <v>0</v>
      </c>
      <c r="Y31" s="105">
        <f>IF(ISERROR(FIND($D31,[1]processdata_2!#REF!,1)),0,1)</f>
        <v>0</v>
      </c>
      <c r="Z31" s="105">
        <f>IF(ISERROR(FIND($D31,[1]processdata_2!#REF!,1)),0,1)</f>
        <v>0</v>
      </c>
      <c r="AA31" s="105">
        <f>IF(ISERROR(FIND($D31,[1]processdata_2!#REF!,1)),0,1)</f>
        <v>0</v>
      </c>
      <c r="AB31" s="105">
        <f>IF(ISERROR(FIND($D31,[1]processdata_2!#REF!,1)),0,1)</f>
        <v>0</v>
      </c>
      <c r="AC31" s="105">
        <f>IF(ISERROR(FIND($D31,[1]processdata_2!#REF!,1)),0,1)</f>
        <v>0</v>
      </c>
      <c r="AD31" s="105">
        <f>IF(ISERROR(FIND($D31,[1]processdata_2!#REF!,1)),0,1)</f>
        <v>0</v>
      </c>
      <c r="AG31" t="s">
        <v>70</v>
      </c>
      <c r="AH31" s="1" t="s">
        <v>634</v>
      </c>
      <c r="AJ31" s="20" t="s">
        <v>676</v>
      </c>
      <c r="AK31" s="20" t="s">
        <v>769</v>
      </c>
      <c r="AN31">
        <f t="shared" si="0"/>
        <v>30</v>
      </c>
      <c r="AO31" t="s">
        <v>753</v>
      </c>
      <c r="AP31" t="str">
        <f>$F$30</f>
        <v>급여지출결의서</v>
      </c>
      <c r="AQ31" t="str">
        <f t="shared" si="1"/>
        <v>회사에서 사용하는 급여지출결의서명이 있다면, 그 서류의 이름을 기재 부탁 드립니다.</v>
      </c>
      <c r="AR31" t="s">
        <v>784</v>
      </c>
    </row>
    <row r="32" spans="1:44">
      <c r="A32">
        <v>28</v>
      </c>
      <c r="B32">
        <v>1</v>
      </c>
      <c r="D32" s="18" t="s">
        <v>635</v>
      </c>
      <c r="F32" s="105" t="s">
        <v>636</v>
      </c>
      <c r="G32" t="s">
        <v>637</v>
      </c>
      <c r="P32" s="105">
        <f>IF(ISERROR(FIND($D32,[1]processdata_2!#REF!,1)),0,1)</f>
        <v>0</v>
      </c>
      <c r="Q32" s="105">
        <f>IF(ISERROR(FIND($D32,[1]processdata_2!#REF!,1)),0,1)</f>
        <v>0</v>
      </c>
      <c r="R32" s="105">
        <f>IF(ISERROR(FIND($D32,[1]processdata_2!#REF!,1)),0,1)</f>
        <v>0</v>
      </c>
      <c r="S32" s="105">
        <f>IF(ISERROR(FIND($D32,[1]processdata_2!#REF!,1)),0,1)</f>
        <v>0</v>
      </c>
      <c r="T32" s="105">
        <f>IF(ISERROR(FIND($D32,[1]processdata_2!#REF!,1)),0,1)</f>
        <v>0</v>
      </c>
      <c r="U32" s="105">
        <f>IF(ISERROR(FIND($D32,[1]processdata_2!#REF!,1)),0,1)</f>
        <v>0</v>
      </c>
      <c r="V32" s="105">
        <f>IF(ISERROR(FIND($D32,[1]processdata_2!#REF!,1)),0,1)</f>
        <v>0</v>
      </c>
      <c r="W32" s="105">
        <f>IF(ISERROR(FIND($D32,[1]processdata_2!#REF!,1)),0,1)</f>
        <v>0</v>
      </c>
      <c r="X32" s="105">
        <f>IF(ISERROR(FIND($D32,[1]processdata_2!#REF!,1)),0,1)</f>
        <v>0</v>
      </c>
      <c r="Y32" s="105">
        <f>IF(ISERROR(FIND($D32,[1]processdata_2!#REF!,1)),0,1)</f>
        <v>0</v>
      </c>
      <c r="Z32" s="105">
        <f>IF(ISERROR(FIND($D32,[1]processdata_2!#REF!,1)),0,1)</f>
        <v>0</v>
      </c>
      <c r="AA32" s="105">
        <f>IF(ISERROR(FIND($D32,[1]processdata_2!#REF!,1)),0,1)</f>
        <v>0</v>
      </c>
      <c r="AB32" s="105">
        <f>IF(ISERROR(FIND($D32,[1]processdata_2!#REF!,1)),0,1)</f>
        <v>0</v>
      </c>
      <c r="AC32" s="105">
        <f>IF(ISERROR(FIND($D32,[1]processdata_2!#REF!,1)),0,1)</f>
        <v>0</v>
      </c>
      <c r="AD32" s="105">
        <f>IF(ISERROR(FIND($D32,[1]processdata_2!#REF!,1)),0,1)</f>
        <v>0</v>
      </c>
      <c r="AG32" t="s">
        <v>81</v>
      </c>
      <c r="AJ32" s="20" t="s">
        <v>677</v>
      </c>
      <c r="AK32" s="20" t="s">
        <v>769</v>
      </c>
      <c r="AN32">
        <f t="shared" si="0"/>
        <v>31</v>
      </c>
      <c r="AO32" t="s">
        <v>754</v>
      </c>
      <c r="AP32" t="str">
        <f>$F$31</f>
        <v>성과급지출결의서</v>
      </c>
      <c r="AQ32" t="str">
        <f t="shared" si="1"/>
        <v>회사에서 사용하는 성과급지출결의서명이 있다면, 그 서류의 이름을 기재 부탁 드립니다.</v>
      </c>
      <c r="AR32" t="s">
        <v>785</v>
      </c>
    </row>
    <row r="33" spans="1:44">
      <c r="A33">
        <v>29</v>
      </c>
      <c r="B33">
        <v>1</v>
      </c>
      <c r="D33" s="18" t="s">
        <v>638</v>
      </c>
      <c r="F33" s="105" t="s">
        <v>638</v>
      </c>
      <c r="P33" s="105">
        <f>IF(ISERROR(FIND($D33,[1]processdata_2!#REF!,1)),0,1)</f>
        <v>0</v>
      </c>
      <c r="Q33" s="105">
        <f>IF(ISERROR(FIND($D33,[1]processdata_2!#REF!,1)),0,1)</f>
        <v>0</v>
      </c>
      <c r="R33" s="105">
        <f>IF(ISERROR(FIND($D33,[1]processdata_2!#REF!,1)),0,1)</f>
        <v>0</v>
      </c>
      <c r="S33" s="105">
        <f>IF(ISERROR(FIND($D33,[1]processdata_2!#REF!,1)),0,1)</f>
        <v>0</v>
      </c>
      <c r="T33" s="105">
        <f>IF(ISERROR(FIND($D33,[1]processdata_2!#REF!,1)),0,1)</f>
        <v>0</v>
      </c>
      <c r="U33" s="105">
        <f>IF(ISERROR(FIND($D33,[1]processdata_2!#REF!,1)),0,1)</f>
        <v>0</v>
      </c>
      <c r="V33" s="105">
        <f>IF(ISERROR(FIND($D33,[1]processdata_2!#REF!,1)),0,1)</f>
        <v>0</v>
      </c>
      <c r="W33" s="105">
        <f>IF(ISERROR(FIND($D33,[1]processdata_2!#REF!,1)),0,1)</f>
        <v>0</v>
      </c>
      <c r="X33" s="105">
        <f>IF(ISERROR(FIND($D33,[1]processdata_2!#REF!,1)),0,1)</f>
        <v>0</v>
      </c>
      <c r="Y33" s="105">
        <f>IF(ISERROR(FIND($D33,[1]processdata_2!#REF!,1)),0,1)</f>
        <v>0</v>
      </c>
      <c r="Z33" s="105">
        <f>IF(ISERROR(FIND($D33,[1]processdata_2!#REF!,1)),0,1)</f>
        <v>0</v>
      </c>
      <c r="AA33" s="105">
        <f>IF(ISERROR(FIND($D33,[1]processdata_2!#REF!,1)),0,1)</f>
        <v>0</v>
      </c>
      <c r="AB33" s="105">
        <f>IF(ISERROR(FIND($D33,[1]processdata_2!#REF!,1)),0,1)</f>
        <v>0</v>
      </c>
      <c r="AC33" s="105">
        <f>IF(ISERROR(FIND($D33,[1]processdata_2!#REF!,1)),0,1)</f>
        <v>0</v>
      </c>
      <c r="AD33" s="105">
        <f>IF(ISERROR(FIND($D33,[1]processdata_2!#REF!,1)),0,1)</f>
        <v>0</v>
      </c>
      <c r="AG33" t="s">
        <v>70</v>
      </c>
      <c r="AH33" s="1" t="s">
        <v>639</v>
      </c>
      <c r="AJ33" s="20" t="s">
        <v>678</v>
      </c>
      <c r="AK33" s="20" t="s">
        <v>769</v>
      </c>
      <c r="AN33">
        <f t="shared" si="0"/>
        <v>33</v>
      </c>
      <c r="AO33" t="s">
        <v>755</v>
      </c>
      <c r="AP33" t="str">
        <f>$F$33</f>
        <v>사외적립자산불입기안서</v>
      </c>
      <c r="AQ33" t="str">
        <f t="shared" si="1"/>
        <v>회사에서 사용하는 사외적립자산불입기안서명이 있다면, 그 서류의 이름을 기재 부탁 드립니다.</v>
      </c>
      <c r="AR33" t="s">
        <v>786</v>
      </c>
    </row>
    <row r="34" spans="1:44">
      <c r="A34">
        <v>30</v>
      </c>
      <c r="B34">
        <v>1</v>
      </c>
      <c r="D34" s="18" t="s">
        <v>640</v>
      </c>
      <c r="F34" s="105" t="s">
        <v>640</v>
      </c>
      <c r="P34" s="105">
        <f>IF(ISERROR(FIND($D34,[1]processdata_2!#REF!,1)),0,1)</f>
        <v>0</v>
      </c>
      <c r="Q34" s="105">
        <f>IF(ISERROR(FIND($D34,[1]processdata_2!#REF!,1)),0,1)</f>
        <v>0</v>
      </c>
      <c r="R34" s="105">
        <f>IF(ISERROR(FIND($D34,[1]processdata_2!#REF!,1)),0,1)</f>
        <v>0</v>
      </c>
      <c r="S34" s="105">
        <f>IF(ISERROR(FIND($D34,[1]processdata_2!#REF!,1)),0,1)</f>
        <v>0</v>
      </c>
      <c r="T34" s="105">
        <f>IF(ISERROR(FIND($D34,[1]processdata_2!#REF!,1)),0,1)</f>
        <v>0</v>
      </c>
      <c r="U34" s="105">
        <f>IF(ISERROR(FIND($D34,[1]processdata_2!#REF!,1)),0,1)</f>
        <v>0</v>
      </c>
      <c r="V34" s="105">
        <f>IF(ISERROR(FIND($D34,[1]processdata_2!#REF!,1)),0,1)</f>
        <v>0</v>
      </c>
      <c r="W34" s="105">
        <f>IF(ISERROR(FIND($D34,[1]processdata_2!#REF!,1)),0,1)</f>
        <v>0</v>
      </c>
      <c r="X34" s="105">
        <f>IF(ISERROR(FIND($D34,[1]processdata_2!#REF!,1)),0,1)</f>
        <v>0</v>
      </c>
      <c r="Y34" s="105">
        <f>IF(ISERROR(FIND($D34,[1]processdata_2!#REF!,1)),0,1)</f>
        <v>0</v>
      </c>
      <c r="Z34" s="105">
        <f>IF(ISERROR(FIND($D34,[1]processdata_2!#REF!,1)),0,1)</f>
        <v>0</v>
      </c>
      <c r="AA34" s="105">
        <f>IF(ISERROR(FIND($D34,[1]processdata_2!#REF!,1)),0,1)</f>
        <v>0</v>
      </c>
      <c r="AB34" s="105">
        <f>IF(ISERROR(FIND($D34,[1]processdata_2!#REF!,1)),0,1)</f>
        <v>0</v>
      </c>
      <c r="AC34" s="105">
        <f>IF(ISERROR(FIND($D34,[1]processdata_2!#REF!,1)),0,1)</f>
        <v>0</v>
      </c>
      <c r="AD34" s="105">
        <f>IF(ISERROR(FIND($D34,[1]processdata_2!#REF!,1)),0,1)</f>
        <v>0</v>
      </c>
      <c r="AG34" t="s">
        <v>70</v>
      </c>
      <c r="AH34" s="1" t="s">
        <v>641</v>
      </c>
      <c r="AJ34" s="20" t="s">
        <v>679</v>
      </c>
      <c r="AK34" s="20" t="s">
        <v>769</v>
      </c>
      <c r="AN34">
        <f t="shared" si="0"/>
        <v>34</v>
      </c>
      <c r="AO34" t="s">
        <v>756</v>
      </c>
      <c r="AP34" t="str">
        <f>$F$34</f>
        <v>인사발령품의서</v>
      </c>
      <c r="AQ34" t="str">
        <f t="shared" si="1"/>
        <v>회사에서 사용하는 인사발령품의서명이 있다면, 그 서류의 이름을 기재 부탁 드립니다.</v>
      </c>
      <c r="AR34" t="s">
        <v>787</v>
      </c>
    </row>
    <row r="35" spans="1:44">
      <c r="A35">
        <v>31</v>
      </c>
      <c r="B35">
        <v>1</v>
      </c>
      <c r="D35" s="18" t="s">
        <v>642</v>
      </c>
      <c r="F35" s="105" t="s">
        <v>642</v>
      </c>
      <c r="P35" s="105">
        <f>IF(ISERROR(FIND($D35,[1]processdata_2!#REF!,1)),0,1)</f>
        <v>0</v>
      </c>
      <c r="Q35" s="105">
        <f>IF(ISERROR(FIND($D35,[1]processdata_2!#REF!,1)),0,1)</f>
        <v>0</v>
      </c>
      <c r="R35" s="105">
        <f>IF(ISERROR(FIND($D35,[1]processdata_2!#REF!,1)),0,1)</f>
        <v>0</v>
      </c>
      <c r="S35" s="105">
        <f>IF(ISERROR(FIND($D35,[1]processdata_2!#REF!,1)),0,1)</f>
        <v>0</v>
      </c>
      <c r="T35" s="105">
        <f>IF(ISERROR(FIND($D35,[1]processdata_2!#REF!,1)),0,1)</f>
        <v>0</v>
      </c>
      <c r="U35" s="105">
        <f>IF(ISERROR(FIND($D35,[1]processdata_2!#REF!,1)),0,1)</f>
        <v>0</v>
      </c>
      <c r="V35" s="105">
        <f>IF(ISERROR(FIND($D35,[1]processdata_2!#REF!,1)),0,1)</f>
        <v>0</v>
      </c>
      <c r="W35" s="105">
        <f>IF(ISERROR(FIND($D35,[1]processdata_2!#REF!,1)),0,1)</f>
        <v>0</v>
      </c>
      <c r="X35" s="105">
        <f>IF(ISERROR(FIND($D35,[1]processdata_2!#REF!,1)),0,1)</f>
        <v>0</v>
      </c>
      <c r="Y35" s="105">
        <f>IF(ISERROR(FIND($D35,[1]processdata_2!#REF!,1)),0,1)</f>
        <v>0</v>
      </c>
      <c r="Z35" s="105">
        <f>IF(ISERROR(FIND($D35,[1]processdata_2!#REF!,1)),0,1)</f>
        <v>0</v>
      </c>
      <c r="AA35" s="105">
        <f>IF(ISERROR(FIND($D35,[1]processdata_2!#REF!,1)),0,1)</f>
        <v>0</v>
      </c>
      <c r="AB35" s="105">
        <f>IF(ISERROR(FIND($D35,[1]processdata_2!#REF!,1)),0,1)</f>
        <v>0</v>
      </c>
      <c r="AC35" s="105">
        <f>IF(ISERROR(FIND($D35,[1]processdata_2!#REF!,1)),0,1)</f>
        <v>0</v>
      </c>
      <c r="AD35" s="105">
        <f>IF(ISERROR(FIND($D35,[1]processdata_2!#REF!,1)),0,1)</f>
        <v>0</v>
      </c>
      <c r="AG35" t="s">
        <v>70</v>
      </c>
      <c r="AH35" s="1" t="s">
        <v>643</v>
      </c>
      <c r="AJ35" s="20" t="s">
        <v>680</v>
      </c>
      <c r="AK35" s="20" t="s">
        <v>769</v>
      </c>
      <c r="AN35">
        <f t="shared" si="0"/>
        <v>35</v>
      </c>
      <c r="AO35" t="s">
        <v>764</v>
      </c>
      <c r="AP35" t="str">
        <f>$F$35</f>
        <v>퇴직금산정내역품의서</v>
      </c>
      <c r="AQ35" t="str">
        <f t="shared" si="1"/>
        <v>회사에서 사용하는 퇴직산정내역품의서명이 있다면, 그 서류의 이름을 기재 부탁 드립니다.</v>
      </c>
      <c r="AR35" t="s">
        <v>788</v>
      </c>
    </row>
    <row r="36" spans="1:44">
      <c r="A36">
        <v>32</v>
      </c>
      <c r="B36">
        <v>1</v>
      </c>
      <c r="D36" s="18" t="s">
        <v>644</v>
      </c>
      <c r="F36" s="105" t="s">
        <v>645</v>
      </c>
      <c r="G36" t="s">
        <v>74</v>
      </c>
      <c r="H36" t="s">
        <v>117</v>
      </c>
      <c r="I36" t="s">
        <v>118</v>
      </c>
      <c r="J36" t="s">
        <v>119</v>
      </c>
      <c r="P36" s="105">
        <f>IF(ISERROR(FIND($D36,[1]processdata_2!#REF!,1)),0,1)</f>
        <v>0</v>
      </c>
      <c r="Q36" s="105">
        <f>IF(ISERROR(FIND($D36,[1]processdata_2!#REF!,1)),0,1)</f>
        <v>0</v>
      </c>
      <c r="R36" s="105">
        <f>IF(ISERROR(FIND($D36,[1]processdata_2!#REF!,1)),0,1)</f>
        <v>0</v>
      </c>
      <c r="S36" s="105">
        <f>IF(ISERROR(FIND($D36,[1]processdata_2!#REF!,1)),0,1)</f>
        <v>0</v>
      </c>
      <c r="T36" s="105">
        <f>IF(ISERROR(FIND($D36,[1]processdata_2!#REF!,1)),0,1)</f>
        <v>0</v>
      </c>
      <c r="U36" s="105">
        <f>IF(ISERROR(FIND($D36,[1]processdata_2!#REF!,1)),0,1)</f>
        <v>0</v>
      </c>
      <c r="V36" s="105">
        <f>IF(ISERROR(FIND($D36,[1]processdata_2!#REF!,1)),0,1)</f>
        <v>0</v>
      </c>
      <c r="W36" s="105">
        <f>IF(ISERROR(FIND($D36,[1]processdata_2!#REF!,1)),0,1)</f>
        <v>0</v>
      </c>
      <c r="X36" s="105">
        <f>IF(ISERROR(FIND($D36,[1]processdata_2!#REF!,1)),0,1)</f>
        <v>0</v>
      </c>
      <c r="Y36" s="105">
        <f>IF(ISERROR(FIND($D36,[1]processdata_2!#REF!,1)),0,1)</f>
        <v>0</v>
      </c>
      <c r="Z36" s="105">
        <f>IF(ISERROR(FIND($D36,[1]processdata_2!#REF!,1)),0,1)</f>
        <v>0</v>
      </c>
      <c r="AA36" s="105">
        <f>IF(ISERROR(FIND($D36,[1]processdata_2!#REF!,1)),0,1)</f>
        <v>0</v>
      </c>
      <c r="AB36" s="105">
        <f>IF(ISERROR(FIND($D36,[1]processdata_2!#REF!,1)),0,1)</f>
        <v>0</v>
      </c>
      <c r="AC36" s="105">
        <f>IF(ISERROR(FIND($D36,[1]processdata_2!#REF!,1)),0,1)</f>
        <v>0</v>
      </c>
      <c r="AD36" s="105">
        <f>IF(ISERROR(FIND($D36,[1]processdata_2!#REF!,1)),0,1)</f>
        <v>0</v>
      </c>
      <c r="AG36" t="s">
        <v>70</v>
      </c>
      <c r="AJ36" s="20" t="s">
        <v>681</v>
      </c>
      <c r="AK36" s="20" t="s">
        <v>771</v>
      </c>
      <c r="AN36">
        <f t="shared" si="0"/>
        <v>37</v>
      </c>
      <c r="AO36" t="s">
        <v>765</v>
      </c>
      <c r="AP36" t="str">
        <f>$K$37</f>
        <v>복리후생</v>
      </c>
      <c r="AQ36" t="str">
        <f t="shared" si="1"/>
        <v>회사에서 사용하는 회사의 복리후생정책이 있다면, 그 정책의 이름을 기재 부탁 드립니다.</v>
      </c>
      <c r="AR36" t="s">
        <v>789</v>
      </c>
    </row>
    <row r="37" spans="1:44">
      <c r="A37">
        <v>33</v>
      </c>
      <c r="B37">
        <v>1</v>
      </c>
      <c r="D37" s="18" t="s">
        <v>646</v>
      </c>
      <c r="F37" s="105" t="s">
        <v>647</v>
      </c>
      <c r="G37" t="s">
        <v>648</v>
      </c>
      <c r="H37" t="s">
        <v>649</v>
      </c>
      <c r="I37" t="s">
        <v>650</v>
      </c>
      <c r="J37" t="s">
        <v>651</v>
      </c>
      <c r="K37" t="s">
        <v>765</v>
      </c>
      <c r="P37" s="105">
        <f>IF(ISERROR(FIND($D37,[1]processdata_2!#REF!,1)),0,1)</f>
        <v>0</v>
      </c>
      <c r="Q37" s="105">
        <f>IF(ISERROR(FIND($D37,[1]processdata_2!#REF!,1)),0,1)</f>
        <v>0</v>
      </c>
      <c r="R37" s="105">
        <f>IF(ISERROR(FIND($D37,[1]processdata_2!#REF!,1)),0,1)</f>
        <v>0</v>
      </c>
      <c r="S37" s="105">
        <f>IF(ISERROR(FIND($D37,[1]processdata_2!#REF!,1)),0,1)</f>
        <v>0</v>
      </c>
      <c r="T37" s="105">
        <f>IF(ISERROR(FIND($D37,[1]processdata_2!#REF!,1)),0,1)</f>
        <v>0</v>
      </c>
      <c r="U37" s="105">
        <f>IF(ISERROR(FIND($D37,[1]processdata_2!#REF!,1)),0,1)</f>
        <v>0</v>
      </c>
      <c r="V37" s="105">
        <f>IF(ISERROR(FIND($D37,[1]processdata_2!#REF!,1)),0,1)</f>
        <v>0</v>
      </c>
      <c r="W37" s="105">
        <f>IF(ISERROR(FIND($D37,[1]processdata_2!#REF!,1)),0,1)</f>
        <v>0</v>
      </c>
      <c r="X37" s="105">
        <f>IF(ISERROR(FIND($D37,[1]processdata_2!#REF!,1)),0,1)</f>
        <v>0</v>
      </c>
      <c r="Y37" s="105">
        <f>IF(ISERROR(FIND($D37,[1]processdata_2!#REF!,1)),0,1)</f>
        <v>0</v>
      </c>
      <c r="Z37" s="105">
        <f>IF(ISERROR(FIND($D37,[1]processdata_2!#REF!,1)),0,1)</f>
        <v>0</v>
      </c>
      <c r="AA37" s="105">
        <f>IF(ISERROR(FIND($D37,[1]processdata_2!#REF!,1)),0,1)</f>
        <v>0</v>
      </c>
      <c r="AB37" s="105">
        <f>IF(ISERROR(FIND($D37,[1]processdata_2!#REF!,1)),0,1)</f>
        <v>0</v>
      </c>
      <c r="AC37" s="105">
        <f>IF(ISERROR(FIND($D37,[1]processdata_2!#REF!,1)),0,1)</f>
        <v>0</v>
      </c>
      <c r="AD37" s="105">
        <f>IF(ISERROR(FIND($D37,[1]processdata_2!#REF!,1)),0,1)</f>
        <v>0</v>
      </c>
      <c r="AG37" t="s">
        <v>81</v>
      </c>
      <c r="AH37" s="1" t="s">
        <v>652</v>
      </c>
      <c r="AJ37" s="20" t="s">
        <v>682</v>
      </c>
      <c r="AK37" s="20" t="s">
        <v>769</v>
      </c>
      <c r="AN37">
        <f t="shared" si="0"/>
        <v>38</v>
      </c>
      <c r="AO37" t="s">
        <v>757</v>
      </c>
      <c r="AP37" t="str">
        <f>$F$38</f>
        <v>복리후생신청품의서</v>
      </c>
      <c r="AQ37" t="str">
        <f t="shared" si="1"/>
        <v>회사에서 사용하는 복리후생신청품의서명이 있다면, 그 서류의 이름을 기재 부탁 드립니다.</v>
      </c>
      <c r="AR37" t="s">
        <v>790</v>
      </c>
    </row>
    <row r="38" spans="1:44">
      <c r="A38">
        <v>34</v>
      </c>
      <c r="B38">
        <v>1</v>
      </c>
      <c r="D38" s="18" t="s">
        <v>653</v>
      </c>
      <c r="F38" s="105" t="s">
        <v>653</v>
      </c>
      <c r="P38" s="105">
        <f>IF(ISERROR(FIND($D38,[1]processdata_2!#REF!,1)),0,1)</f>
        <v>0</v>
      </c>
      <c r="Q38" s="105">
        <f>IF(ISERROR(FIND($D38,[1]processdata_2!#REF!,1)),0,1)</f>
        <v>0</v>
      </c>
      <c r="R38" s="105">
        <f>IF(ISERROR(FIND($D38,[1]processdata_2!#REF!,1)),0,1)</f>
        <v>0</v>
      </c>
      <c r="S38" s="105">
        <f>IF(ISERROR(FIND($D38,[1]processdata_2!#REF!,1)),0,1)</f>
        <v>0</v>
      </c>
      <c r="T38" s="105">
        <f>IF(ISERROR(FIND($D38,[1]processdata_2!#REF!,1)),0,1)</f>
        <v>0</v>
      </c>
      <c r="U38" s="105">
        <f>IF(ISERROR(FIND($D38,[1]processdata_2!#REF!,1)),0,1)</f>
        <v>0</v>
      </c>
      <c r="V38" s="105">
        <f>IF(ISERROR(FIND($D38,[1]processdata_2!#REF!,1)),0,1)</f>
        <v>0</v>
      </c>
      <c r="W38" s="105">
        <f>IF(ISERROR(FIND($D38,[1]processdata_2!#REF!,1)),0,1)</f>
        <v>0</v>
      </c>
      <c r="X38" s="105">
        <f>IF(ISERROR(FIND($D38,[1]processdata_2!#REF!,1)),0,1)</f>
        <v>0</v>
      </c>
      <c r="Y38" s="105">
        <f>IF(ISERROR(FIND($D38,[1]processdata_2!#REF!,1)),0,1)</f>
        <v>0</v>
      </c>
      <c r="Z38" s="105">
        <f>IF(ISERROR(FIND($D38,[1]processdata_2!#REF!,1)),0,1)</f>
        <v>0</v>
      </c>
      <c r="AA38" s="105">
        <f>IF(ISERROR(FIND($D38,[1]processdata_2!#REF!,1)),0,1)</f>
        <v>0</v>
      </c>
      <c r="AB38" s="105">
        <f>IF(ISERROR(FIND($D38,[1]processdata_2!#REF!,1)),0,1)</f>
        <v>0</v>
      </c>
      <c r="AC38" s="105">
        <f>IF(ISERROR(FIND($D38,[1]processdata_2!#REF!,1)),0,1)</f>
        <v>0</v>
      </c>
      <c r="AD38" s="105">
        <f>IF(ISERROR(FIND($D38,[1]processdata_2!#REF!,1)),0,1)</f>
        <v>0</v>
      </c>
      <c r="AG38" t="s">
        <v>70</v>
      </c>
      <c r="AH38" s="1" t="s">
        <v>654</v>
      </c>
    </row>
    <row r="49" spans="3:14">
      <c r="G49" s="18"/>
    </row>
    <row r="50" spans="3:14">
      <c r="C50" s="109"/>
      <c r="D50" s="110" t="s">
        <v>82</v>
      </c>
      <c r="E50" s="109"/>
      <c r="F50" s="109" t="s">
        <v>655</v>
      </c>
      <c r="G50" s="109" t="s">
        <v>656</v>
      </c>
      <c r="H50" s="109" t="s">
        <v>657</v>
      </c>
      <c r="I50" s="109" t="s">
        <v>658</v>
      </c>
      <c r="J50" s="109" t="s">
        <v>659</v>
      </c>
      <c r="K50" s="109" t="s">
        <v>660</v>
      </c>
      <c r="L50" s="109" t="s">
        <v>661</v>
      </c>
      <c r="M50" s="109"/>
      <c r="N50" t="s">
        <v>662</v>
      </c>
    </row>
  </sheetData>
  <mergeCells count="2">
    <mergeCell ref="C27:C29"/>
    <mergeCell ref="AJ17:AK17"/>
  </mergeCells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50C95-E1C2-4A08-AADD-F5522D589E63}">
  <sheetPr codeName="Sheet9">
    <tabColor theme="7" tint="0.39997558519241921"/>
  </sheetPr>
  <dimension ref="A1:M67"/>
  <sheetViews>
    <sheetView workbookViewId="0">
      <selection activeCell="B55" sqref="B55"/>
    </sheetView>
  </sheetViews>
  <sheetFormatPr defaultRowHeight="17.399999999999999"/>
  <sheetData>
    <row r="1" spans="1:13">
      <c r="A1" s="103" t="s">
        <v>53</v>
      </c>
      <c r="B1" s="103" t="s">
        <v>52</v>
      </c>
      <c r="C1" s="103" t="s">
        <v>54</v>
      </c>
      <c r="D1" s="104" t="s">
        <v>55</v>
      </c>
      <c r="E1" s="9" t="s">
        <v>56</v>
      </c>
      <c r="F1" s="9" t="s">
        <v>57</v>
      </c>
      <c r="G1" s="9" t="s">
        <v>58</v>
      </c>
      <c r="H1" s="9" t="s">
        <v>59</v>
      </c>
      <c r="I1" s="9" t="s">
        <v>60</v>
      </c>
      <c r="J1" s="9" t="s">
        <v>61</v>
      </c>
      <c r="K1" s="9" t="s">
        <v>120</v>
      </c>
      <c r="L1" s="9" t="s">
        <v>121</v>
      </c>
      <c r="M1" s="9" t="s">
        <v>131</v>
      </c>
    </row>
    <row r="2" spans="1:13">
      <c r="A2">
        <v>1</v>
      </c>
      <c r="B2">
        <v>1</v>
      </c>
      <c r="D2" t="s">
        <v>699</v>
      </c>
      <c r="F2" t="s">
        <v>700</v>
      </c>
      <c r="G2" t="s">
        <v>701</v>
      </c>
    </row>
    <row r="3" spans="1:13">
      <c r="A3">
        <v>1</v>
      </c>
      <c r="B3">
        <v>2</v>
      </c>
      <c r="D3" t="s">
        <v>702</v>
      </c>
      <c r="F3" t="s">
        <v>700</v>
      </c>
      <c r="G3" t="s">
        <v>701</v>
      </c>
      <c r="H3" t="s">
        <v>703</v>
      </c>
    </row>
    <row r="4" spans="1:13">
      <c r="A4">
        <v>1</v>
      </c>
      <c r="B4">
        <v>3</v>
      </c>
      <c r="D4" t="s">
        <v>704</v>
      </c>
      <c r="F4" t="s">
        <v>704</v>
      </c>
      <c r="G4" t="s">
        <v>705</v>
      </c>
      <c r="H4" t="s">
        <v>706</v>
      </c>
      <c r="I4" t="s">
        <v>707</v>
      </c>
      <c r="J4" t="s">
        <v>708</v>
      </c>
      <c r="K4" t="s">
        <v>709</v>
      </c>
      <c r="L4" t="s">
        <v>710</v>
      </c>
      <c r="M4" t="s">
        <v>711</v>
      </c>
    </row>
    <row r="5" spans="1:13">
      <c r="A5">
        <v>1</v>
      </c>
      <c r="B5">
        <v>4</v>
      </c>
      <c r="D5" t="s">
        <v>712</v>
      </c>
      <c r="F5" t="s">
        <v>713</v>
      </c>
      <c r="G5" t="s">
        <v>714</v>
      </c>
      <c r="H5" t="s">
        <v>715</v>
      </c>
      <c r="I5" t="s">
        <v>716</v>
      </c>
      <c r="J5" t="s">
        <v>717</v>
      </c>
      <c r="K5" t="s">
        <v>718</v>
      </c>
      <c r="L5" t="s">
        <v>719</v>
      </c>
    </row>
    <row r="6" spans="1:13">
      <c r="A6">
        <v>1</v>
      </c>
      <c r="B6">
        <v>5</v>
      </c>
      <c r="D6" t="s">
        <v>720</v>
      </c>
      <c r="F6" t="s">
        <v>721</v>
      </c>
      <c r="G6" t="s">
        <v>722</v>
      </c>
      <c r="H6" t="s">
        <v>723</v>
      </c>
      <c r="I6" t="s">
        <v>724</v>
      </c>
      <c r="J6" t="s">
        <v>725</v>
      </c>
      <c r="K6" t="s">
        <v>726</v>
      </c>
      <c r="L6" t="s">
        <v>727</v>
      </c>
      <c r="M6" t="s">
        <v>728</v>
      </c>
    </row>
    <row r="7" spans="1:13">
      <c r="A7">
        <v>1</v>
      </c>
      <c r="B7">
        <v>6</v>
      </c>
      <c r="D7" t="s">
        <v>729</v>
      </c>
      <c r="F7" t="s">
        <v>704</v>
      </c>
      <c r="G7" t="s">
        <v>705</v>
      </c>
      <c r="H7" t="s">
        <v>706</v>
      </c>
      <c r="I7" t="s">
        <v>707</v>
      </c>
      <c r="J7" t="s">
        <v>708</v>
      </c>
      <c r="K7" t="s">
        <v>709</v>
      </c>
      <c r="L7" t="s">
        <v>710</v>
      </c>
      <c r="M7" t="s">
        <v>711</v>
      </c>
    </row>
    <row r="8" spans="1:13">
      <c r="A8">
        <v>1</v>
      </c>
      <c r="B8">
        <v>7</v>
      </c>
      <c r="D8" t="s">
        <v>730</v>
      </c>
      <c r="F8" t="s">
        <v>731</v>
      </c>
      <c r="G8" t="s">
        <v>732</v>
      </c>
      <c r="H8" t="s">
        <v>733</v>
      </c>
      <c r="I8" t="s">
        <v>734</v>
      </c>
      <c r="J8" t="s">
        <v>735</v>
      </c>
      <c r="K8" t="s">
        <v>736</v>
      </c>
      <c r="L8" t="s">
        <v>737</v>
      </c>
    </row>
    <row r="9" spans="1:13">
      <c r="A9">
        <v>1</v>
      </c>
      <c r="B9">
        <v>8</v>
      </c>
      <c r="D9" t="s">
        <v>738</v>
      </c>
      <c r="F9" t="s">
        <v>739</v>
      </c>
    </row>
    <row r="10" spans="1:13">
      <c r="A10">
        <v>3</v>
      </c>
      <c r="B10">
        <v>9</v>
      </c>
      <c r="D10" t="s">
        <v>699</v>
      </c>
      <c r="F10" t="s">
        <v>700</v>
      </c>
      <c r="G10" t="s">
        <v>701</v>
      </c>
    </row>
    <row r="11" spans="1:13">
      <c r="A11">
        <v>3</v>
      </c>
      <c r="B11">
        <v>10</v>
      </c>
      <c r="D11" t="s">
        <v>702</v>
      </c>
      <c r="F11" t="s">
        <v>700</v>
      </c>
      <c r="G11" t="s">
        <v>701</v>
      </c>
      <c r="H11" t="s">
        <v>703</v>
      </c>
    </row>
    <row r="12" spans="1:13">
      <c r="A12">
        <v>3</v>
      </c>
      <c r="B12">
        <v>11</v>
      </c>
      <c r="D12" t="s">
        <v>704</v>
      </c>
      <c r="F12" t="s">
        <v>704</v>
      </c>
      <c r="G12" t="s">
        <v>705</v>
      </c>
      <c r="H12" t="s">
        <v>706</v>
      </c>
      <c r="I12" t="s">
        <v>707</v>
      </c>
      <c r="J12" t="s">
        <v>708</v>
      </c>
      <c r="K12" t="s">
        <v>709</v>
      </c>
      <c r="L12" t="s">
        <v>710</v>
      </c>
      <c r="M12" t="s">
        <v>711</v>
      </c>
    </row>
    <row r="13" spans="1:13">
      <c r="A13">
        <v>3</v>
      </c>
      <c r="B13">
        <v>12</v>
      </c>
      <c r="D13" t="s">
        <v>712</v>
      </c>
      <c r="F13" t="s">
        <v>713</v>
      </c>
      <c r="G13" t="s">
        <v>714</v>
      </c>
      <c r="H13" t="s">
        <v>715</v>
      </c>
      <c r="I13" t="s">
        <v>716</v>
      </c>
      <c r="J13" t="s">
        <v>717</v>
      </c>
      <c r="K13" t="s">
        <v>718</v>
      </c>
      <c r="L13" t="s">
        <v>719</v>
      </c>
    </row>
    <row r="14" spans="1:13">
      <c r="A14">
        <v>3</v>
      </c>
      <c r="B14">
        <v>13</v>
      </c>
      <c r="D14" t="s">
        <v>720</v>
      </c>
      <c r="F14" t="s">
        <v>721</v>
      </c>
      <c r="G14" t="s">
        <v>722</v>
      </c>
      <c r="H14" t="s">
        <v>723</v>
      </c>
      <c r="I14" t="s">
        <v>724</v>
      </c>
      <c r="J14" t="s">
        <v>725</v>
      </c>
      <c r="K14" t="s">
        <v>726</v>
      </c>
      <c r="L14" t="s">
        <v>727</v>
      </c>
      <c r="M14" t="s">
        <v>728</v>
      </c>
    </row>
    <row r="15" spans="1:13">
      <c r="A15">
        <v>3</v>
      </c>
      <c r="B15">
        <v>14</v>
      </c>
      <c r="D15" t="s">
        <v>729</v>
      </c>
      <c r="F15" t="s">
        <v>704</v>
      </c>
      <c r="G15" t="s">
        <v>705</v>
      </c>
      <c r="H15" t="s">
        <v>706</v>
      </c>
      <c r="I15" t="s">
        <v>707</v>
      </c>
      <c r="J15" t="s">
        <v>708</v>
      </c>
      <c r="K15" t="s">
        <v>709</v>
      </c>
      <c r="L15" t="s">
        <v>710</v>
      </c>
      <c r="M15" t="s">
        <v>711</v>
      </c>
    </row>
    <row r="16" spans="1:13">
      <c r="A16">
        <v>3</v>
      </c>
      <c r="B16">
        <v>15</v>
      </c>
      <c r="D16" t="s">
        <v>730</v>
      </c>
      <c r="F16" t="s">
        <v>731</v>
      </c>
      <c r="G16" t="s">
        <v>732</v>
      </c>
      <c r="H16" t="s">
        <v>733</v>
      </c>
      <c r="I16" t="s">
        <v>734</v>
      </c>
      <c r="J16" t="s">
        <v>735</v>
      </c>
      <c r="K16" t="s">
        <v>736</v>
      </c>
      <c r="L16" t="s">
        <v>737</v>
      </c>
    </row>
    <row r="17" spans="1:13">
      <c r="A17">
        <v>3</v>
      </c>
      <c r="B17">
        <v>16</v>
      </c>
      <c r="D17" t="s">
        <v>740</v>
      </c>
      <c r="F17" t="s">
        <v>740</v>
      </c>
    </row>
    <row r="18" spans="1:13">
      <c r="A18">
        <v>3</v>
      </c>
      <c r="B18">
        <v>17</v>
      </c>
      <c r="D18" t="s">
        <v>741</v>
      </c>
      <c r="F18" t="s">
        <v>714</v>
      </c>
      <c r="G18" t="s">
        <v>715</v>
      </c>
      <c r="H18" t="s">
        <v>716</v>
      </c>
      <c r="I18" t="s">
        <v>717</v>
      </c>
      <c r="J18" t="s">
        <v>742</v>
      </c>
    </row>
    <row r="19" spans="1:13">
      <c r="A19">
        <v>4</v>
      </c>
      <c r="B19">
        <v>18</v>
      </c>
      <c r="D19" t="s">
        <v>699</v>
      </c>
      <c r="F19" t="s">
        <v>700</v>
      </c>
      <c r="G19" t="s">
        <v>701</v>
      </c>
    </row>
    <row r="20" spans="1:13">
      <c r="A20">
        <v>4</v>
      </c>
      <c r="B20">
        <v>19</v>
      </c>
      <c r="D20" t="s">
        <v>704</v>
      </c>
      <c r="F20" t="s">
        <v>704</v>
      </c>
      <c r="G20" t="s">
        <v>705</v>
      </c>
      <c r="H20" t="s">
        <v>706</v>
      </c>
      <c r="I20" t="s">
        <v>707</v>
      </c>
      <c r="J20" t="s">
        <v>708</v>
      </c>
      <c r="K20" t="s">
        <v>709</v>
      </c>
      <c r="L20" t="s">
        <v>710</v>
      </c>
      <c r="M20" t="s">
        <v>711</v>
      </c>
    </row>
    <row r="21" spans="1:13">
      <c r="A21">
        <v>4</v>
      </c>
      <c r="B21">
        <v>20</v>
      </c>
      <c r="D21" t="s">
        <v>740</v>
      </c>
      <c r="F21" t="s">
        <v>740</v>
      </c>
    </row>
    <row r="22" spans="1:13">
      <c r="A22">
        <v>5</v>
      </c>
      <c r="B22">
        <v>21</v>
      </c>
      <c r="D22" t="s">
        <v>699</v>
      </c>
      <c r="F22" t="s">
        <v>700</v>
      </c>
      <c r="G22" t="s">
        <v>701</v>
      </c>
    </row>
    <row r="23" spans="1:13">
      <c r="A23">
        <v>5</v>
      </c>
      <c r="B23">
        <v>22</v>
      </c>
      <c r="D23" t="s">
        <v>702</v>
      </c>
      <c r="F23" t="s">
        <v>700</v>
      </c>
      <c r="G23" t="s">
        <v>701</v>
      </c>
      <c r="H23" t="s">
        <v>703</v>
      </c>
    </row>
    <row r="24" spans="1:13">
      <c r="A24">
        <v>5</v>
      </c>
      <c r="B24">
        <v>23</v>
      </c>
      <c r="D24" t="s">
        <v>704</v>
      </c>
      <c r="F24" t="s">
        <v>704</v>
      </c>
      <c r="G24" t="s">
        <v>705</v>
      </c>
      <c r="H24" t="s">
        <v>706</v>
      </c>
      <c r="I24" t="s">
        <v>707</v>
      </c>
      <c r="J24" t="s">
        <v>708</v>
      </c>
      <c r="K24" t="s">
        <v>709</v>
      </c>
      <c r="L24" t="s">
        <v>710</v>
      </c>
      <c r="M24" t="s">
        <v>711</v>
      </c>
    </row>
    <row r="25" spans="1:13">
      <c r="A25">
        <v>5</v>
      </c>
      <c r="B25">
        <v>24</v>
      </c>
      <c r="D25" t="s">
        <v>712</v>
      </c>
      <c r="F25" t="s">
        <v>713</v>
      </c>
      <c r="G25" t="s">
        <v>714</v>
      </c>
      <c r="H25" t="s">
        <v>715</v>
      </c>
      <c r="I25" t="s">
        <v>716</v>
      </c>
      <c r="J25" t="s">
        <v>717</v>
      </c>
      <c r="K25" t="s">
        <v>718</v>
      </c>
      <c r="L25" t="s">
        <v>719</v>
      </c>
    </row>
    <row r="26" spans="1:13">
      <c r="A26">
        <v>5</v>
      </c>
      <c r="B26">
        <v>25</v>
      </c>
      <c r="D26" t="s">
        <v>720</v>
      </c>
      <c r="F26" t="s">
        <v>721</v>
      </c>
      <c r="G26" t="s">
        <v>722</v>
      </c>
      <c r="H26" t="s">
        <v>723</v>
      </c>
      <c r="I26" t="s">
        <v>724</v>
      </c>
      <c r="J26" t="s">
        <v>725</v>
      </c>
      <c r="K26" t="s">
        <v>726</v>
      </c>
      <c r="L26" t="s">
        <v>727</v>
      </c>
      <c r="M26" t="s">
        <v>728</v>
      </c>
    </row>
    <row r="27" spans="1:13">
      <c r="A27">
        <v>5</v>
      </c>
      <c r="B27">
        <v>26</v>
      </c>
      <c r="D27" t="s">
        <v>729</v>
      </c>
      <c r="F27" t="s">
        <v>704</v>
      </c>
      <c r="G27" t="s">
        <v>705</v>
      </c>
      <c r="H27" t="s">
        <v>706</v>
      </c>
      <c r="I27" t="s">
        <v>707</v>
      </c>
      <c r="J27" t="s">
        <v>708</v>
      </c>
      <c r="K27" t="s">
        <v>709</v>
      </c>
      <c r="L27" t="s">
        <v>710</v>
      </c>
      <c r="M27" t="s">
        <v>711</v>
      </c>
    </row>
    <row r="28" spans="1:13">
      <c r="A28">
        <v>5</v>
      </c>
      <c r="B28">
        <v>27</v>
      </c>
      <c r="D28" t="s">
        <v>730</v>
      </c>
      <c r="F28" t="s">
        <v>731</v>
      </c>
      <c r="G28" t="s">
        <v>732</v>
      </c>
      <c r="H28" t="s">
        <v>733</v>
      </c>
      <c r="I28" t="s">
        <v>734</v>
      </c>
      <c r="J28" t="s">
        <v>735</v>
      </c>
      <c r="K28" t="s">
        <v>736</v>
      </c>
      <c r="L28" t="s">
        <v>737</v>
      </c>
    </row>
    <row r="29" spans="1:13">
      <c r="A29">
        <v>5</v>
      </c>
      <c r="B29">
        <v>28</v>
      </c>
      <c r="D29" t="s">
        <v>741</v>
      </c>
      <c r="F29" t="s">
        <v>714</v>
      </c>
      <c r="G29" t="s">
        <v>715</v>
      </c>
      <c r="H29" t="s">
        <v>716</v>
      </c>
      <c r="I29" t="s">
        <v>717</v>
      </c>
      <c r="J29" t="s">
        <v>742</v>
      </c>
    </row>
    <row r="30" spans="1:13">
      <c r="A30">
        <v>5</v>
      </c>
      <c r="B30">
        <v>29</v>
      </c>
      <c r="D30" t="s">
        <v>743</v>
      </c>
      <c r="F30" t="s">
        <v>743</v>
      </c>
    </row>
    <row r="31" spans="1:13">
      <c r="A31">
        <v>6</v>
      </c>
      <c r="B31">
        <v>30</v>
      </c>
      <c r="D31" t="s">
        <v>699</v>
      </c>
      <c r="F31" t="s">
        <v>700</v>
      </c>
      <c r="G31" t="s">
        <v>701</v>
      </c>
    </row>
    <row r="32" spans="1:13">
      <c r="A32">
        <v>6</v>
      </c>
      <c r="B32">
        <v>31</v>
      </c>
      <c r="D32" t="s">
        <v>704</v>
      </c>
      <c r="F32" t="s">
        <v>704</v>
      </c>
      <c r="G32" t="s">
        <v>705</v>
      </c>
      <c r="H32" t="s">
        <v>706</v>
      </c>
      <c r="I32" t="s">
        <v>707</v>
      </c>
      <c r="J32" t="s">
        <v>708</v>
      </c>
      <c r="K32" t="s">
        <v>709</v>
      </c>
      <c r="L32" t="s">
        <v>710</v>
      </c>
      <c r="M32" t="s">
        <v>711</v>
      </c>
    </row>
    <row r="33" spans="1:13">
      <c r="A33">
        <v>7</v>
      </c>
      <c r="B33">
        <v>32</v>
      </c>
      <c r="D33" t="s">
        <v>699</v>
      </c>
      <c r="F33" t="s">
        <v>700</v>
      </c>
      <c r="G33" t="s">
        <v>701</v>
      </c>
    </row>
    <row r="34" spans="1:13">
      <c r="A34">
        <v>7</v>
      </c>
      <c r="B34">
        <v>33</v>
      </c>
      <c r="D34" t="s">
        <v>702</v>
      </c>
      <c r="F34" t="s">
        <v>700</v>
      </c>
      <c r="G34" t="s">
        <v>701</v>
      </c>
      <c r="H34" t="s">
        <v>703</v>
      </c>
    </row>
    <row r="35" spans="1:13">
      <c r="A35">
        <v>7</v>
      </c>
      <c r="B35">
        <v>34</v>
      </c>
      <c r="D35" t="s">
        <v>704</v>
      </c>
      <c r="F35" t="s">
        <v>704</v>
      </c>
      <c r="G35" t="s">
        <v>705</v>
      </c>
      <c r="H35" t="s">
        <v>706</v>
      </c>
      <c r="I35" t="s">
        <v>707</v>
      </c>
      <c r="J35" t="s">
        <v>708</v>
      </c>
      <c r="K35" t="s">
        <v>709</v>
      </c>
      <c r="L35" t="s">
        <v>710</v>
      </c>
      <c r="M35" t="s">
        <v>711</v>
      </c>
    </row>
    <row r="36" spans="1:13">
      <c r="A36">
        <v>7</v>
      </c>
      <c r="B36">
        <v>35</v>
      </c>
      <c r="D36" t="s">
        <v>712</v>
      </c>
      <c r="F36" t="s">
        <v>713</v>
      </c>
      <c r="G36" t="s">
        <v>714</v>
      </c>
      <c r="H36" t="s">
        <v>715</v>
      </c>
      <c r="I36" t="s">
        <v>716</v>
      </c>
      <c r="J36" t="s">
        <v>717</v>
      </c>
      <c r="K36" t="s">
        <v>718</v>
      </c>
      <c r="L36" t="s">
        <v>719</v>
      </c>
    </row>
    <row r="37" spans="1:13">
      <c r="A37">
        <v>7</v>
      </c>
      <c r="B37">
        <v>36</v>
      </c>
      <c r="D37" t="s">
        <v>720</v>
      </c>
      <c r="F37" t="s">
        <v>721</v>
      </c>
      <c r="G37" t="s">
        <v>722</v>
      </c>
      <c r="H37" t="s">
        <v>723</v>
      </c>
      <c r="I37" t="s">
        <v>724</v>
      </c>
      <c r="J37" t="s">
        <v>725</v>
      </c>
      <c r="K37" t="s">
        <v>726</v>
      </c>
      <c r="L37" t="s">
        <v>727</v>
      </c>
      <c r="M37" t="s">
        <v>728</v>
      </c>
    </row>
    <row r="38" spans="1:13">
      <c r="A38">
        <v>7</v>
      </c>
      <c r="B38">
        <v>37</v>
      </c>
      <c r="D38" t="s">
        <v>729</v>
      </c>
      <c r="F38" t="s">
        <v>704</v>
      </c>
      <c r="G38" t="s">
        <v>705</v>
      </c>
      <c r="H38" t="s">
        <v>706</v>
      </c>
      <c r="I38" t="s">
        <v>707</v>
      </c>
      <c r="J38" t="s">
        <v>708</v>
      </c>
      <c r="K38" t="s">
        <v>709</v>
      </c>
      <c r="L38" t="s">
        <v>710</v>
      </c>
      <c r="M38" t="s">
        <v>711</v>
      </c>
    </row>
    <row r="39" spans="1:13">
      <c r="A39">
        <v>7</v>
      </c>
      <c r="B39">
        <v>38</v>
      </c>
      <c r="D39" t="s">
        <v>730</v>
      </c>
      <c r="F39" t="s">
        <v>731</v>
      </c>
      <c r="G39" t="s">
        <v>732</v>
      </c>
      <c r="H39" t="s">
        <v>733</v>
      </c>
      <c r="I39" t="s">
        <v>734</v>
      </c>
      <c r="J39" t="s">
        <v>735</v>
      </c>
      <c r="K39" t="s">
        <v>736</v>
      </c>
      <c r="L39" t="s">
        <v>737</v>
      </c>
    </row>
    <row r="40" spans="1:13">
      <c r="A40">
        <v>7</v>
      </c>
      <c r="B40">
        <v>39</v>
      </c>
      <c r="D40" t="s">
        <v>744</v>
      </c>
      <c r="F40" t="s">
        <v>744</v>
      </c>
    </row>
    <row r="41" spans="1:13">
      <c r="A41">
        <v>8</v>
      </c>
      <c r="B41">
        <v>40</v>
      </c>
      <c r="D41" t="s">
        <v>704</v>
      </c>
      <c r="F41" t="s">
        <v>704</v>
      </c>
      <c r="G41" t="s">
        <v>705</v>
      </c>
      <c r="H41" t="s">
        <v>706</v>
      </c>
      <c r="I41" t="s">
        <v>707</v>
      </c>
      <c r="J41" t="s">
        <v>708</v>
      </c>
      <c r="K41" t="s">
        <v>709</v>
      </c>
      <c r="L41" t="s">
        <v>710</v>
      </c>
      <c r="M41" t="s">
        <v>711</v>
      </c>
    </row>
    <row r="42" spans="1:13">
      <c r="A42">
        <v>8</v>
      </c>
      <c r="B42">
        <v>41</v>
      </c>
      <c r="D42" t="s">
        <v>745</v>
      </c>
      <c r="F42" t="s">
        <v>745</v>
      </c>
    </row>
    <row r="43" spans="1:13">
      <c r="A43">
        <v>9</v>
      </c>
      <c r="B43">
        <v>42</v>
      </c>
      <c r="D43" t="s">
        <v>745</v>
      </c>
      <c r="F43" t="s">
        <v>745</v>
      </c>
    </row>
    <row r="44" spans="1:13">
      <c r="A44">
        <v>10</v>
      </c>
      <c r="B44">
        <v>43</v>
      </c>
      <c r="D44" t="s">
        <v>699</v>
      </c>
      <c r="F44" t="s">
        <v>700</v>
      </c>
      <c r="G44" t="s">
        <v>701</v>
      </c>
    </row>
    <row r="45" spans="1:13">
      <c r="A45">
        <v>10</v>
      </c>
      <c r="B45">
        <v>44</v>
      </c>
      <c r="D45" t="s">
        <v>702</v>
      </c>
      <c r="F45" t="s">
        <v>700</v>
      </c>
      <c r="G45" t="s">
        <v>701</v>
      </c>
      <c r="H45" t="s">
        <v>703</v>
      </c>
    </row>
    <row r="46" spans="1:13">
      <c r="A46">
        <v>10</v>
      </c>
      <c r="B46">
        <v>45</v>
      </c>
      <c r="D46" t="s">
        <v>704</v>
      </c>
      <c r="F46" t="s">
        <v>704</v>
      </c>
      <c r="G46" t="s">
        <v>705</v>
      </c>
      <c r="H46" t="s">
        <v>706</v>
      </c>
      <c r="I46" t="s">
        <v>707</v>
      </c>
      <c r="J46" t="s">
        <v>708</v>
      </c>
      <c r="K46" t="s">
        <v>709</v>
      </c>
      <c r="L46" t="s">
        <v>710</v>
      </c>
      <c r="M46" t="s">
        <v>711</v>
      </c>
    </row>
    <row r="47" spans="1:13">
      <c r="A47">
        <v>10</v>
      </c>
      <c r="B47">
        <v>46</v>
      </c>
      <c r="D47" t="s">
        <v>712</v>
      </c>
      <c r="F47" t="s">
        <v>713</v>
      </c>
      <c r="G47" t="s">
        <v>714</v>
      </c>
      <c r="H47" t="s">
        <v>715</v>
      </c>
      <c r="I47" t="s">
        <v>716</v>
      </c>
      <c r="J47" t="s">
        <v>717</v>
      </c>
      <c r="K47" t="s">
        <v>718</v>
      </c>
      <c r="L47" t="s">
        <v>719</v>
      </c>
    </row>
    <row r="48" spans="1:13">
      <c r="A48">
        <v>10</v>
      </c>
      <c r="B48">
        <v>47</v>
      </c>
      <c r="D48" t="s">
        <v>720</v>
      </c>
      <c r="F48" t="s">
        <v>721</v>
      </c>
      <c r="G48" t="s">
        <v>722</v>
      </c>
      <c r="H48" t="s">
        <v>723</v>
      </c>
      <c r="I48" t="s">
        <v>724</v>
      </c>
      <c r="J48" t="s">
        <v>725</v>
      </c>
      <c r="K48" t="s">
        <v>726</v>
      </c>
      <c r="L48" t="s">
        <v>727</v>
      </c>
      <c r="M48" t="s">
        <v>728</v>
      </c>
    </row>
    <row r="49" spans="1:13">
      <c r="A49">
        <v>10</v>
      </c>
      <c r="B49">
        <v>48</v>
      </c>
      <c r="D49" t="s">
        <v>729</v>
      </c>
      <c r="F49" t="s">
        <v>704</v>
      </c>
      <c r="G49" t="s">
        <v>705</v>
      </c>
      <c r="H49" t="s">
        <v>706</v>
      </c>
      <c r="I49" t="s">
        <v>707</v>
      </c>
      <c r="J49" t="s">
        <v>708</v>
      </c>
      <c r="K49" t="s">
        <v>709</v>
      </c>
      <c r="L49" t="s">
        <v>710</v>
      </c>
      <c r="M49" t="s">
        <v>711</v>
      </c>
    </row>
    <row r="50" spans="1:13">
      <c r="A50">
        <v>10</v>
      </c>
      <c r="B50">
        <v>49</v>
      </c>
      <c r="D50" t="s">
        <v>730</v>
      </c>
      <c r="F50" t="s">
        <v>731</v>
      </c>
      <c r="G50" t="s">
        <v>732</v>
      </c>
      <c r="H50" t="s">
        <v>733</v>
      </c>
      <c r="I50" t="s">
        <v>734</v>
      </c>
      <c r="J50" t="s">
        <v>735</v>
      </c>
      <c r="K50" t="s">
        <v>736</v>
      </c>
      <c r="L50" t="s">
        <v>737</v>
      </c>
    </row>
    <row r="51" spans="1:13">
      <c r="A51">
        <v>10</v>
      </c>
      <c r="B51">
        <v>50</v>
      </c>
      <c r="D51" t="s">
        <v>746</v>
      </c>
      <c r="F51" t="s">
        <v>746</v>
      </c>
    </row>
    <row r="52" spans="1:13">
      <c r="A52">
        <v>10</v>
      </c>
      <c r="B52">
        <v>51</v>
      </c>
      <c r="D52" t="s">
        <v>747</v>
      </c>
      <c r="F52" t="s">
        <v>714</v>
      </c>
      <c r="G52" t="s">
        <v>715</v>
      </c>
      <c r="H52" t="s">
        <v>716</v>
      </c>
      <c r="I52" t="s">
        <v>717</v>
      </c>
      <c r="J52" t="s">
        <v>748</v>
      </c>
    </row>
    <row r="53" spans="1:13">
      <c r="A53">
        <v>11</v>
      </c>
      <c r="B53">
        <v>52</v>
      </c>
      <c r="D53" t="s">
        <v>699</v>
      </c>
      <c r="F53" t="s">
        <v>700</v>
      </c>
      <c r="G53" t="s">
        <v>701</v>
      </c>
    </row>
    <row r="54" spans="1:13">
      <c r="A54">
        <v>11</v>
      </c>
      <c r="B54">
        <v>53</v>
      </c>
      <c r="D54" t="s">
        <v>704</v>
      </c>
      <c r="F54" t="s">
        <v>704</v>
      </c>
      <c r="G54" t="s">
        <v>705</v>
      </c>
      <c r="H54" t="s">
        <v>706</v>
      </c>
      <c r="I54" t="s">
        <v>707</v>
      </c>
      <c r="J54" t="s">
        <v>708</v>
      </c>
      <c r="K54" t="s">
        <v>709</v>
      </c>
      <c r="L54" t="s">
        <v>710</v>
      </c>
      <c r="M54" t="s">
        <v>711</v>
      </c>
    </row>
    <row r="55" spans="1:13">
      <c r="A55">
        <v>11</v>
      </c>
      <c r="B55">
        <v>54</v>
      </c>
      <c r="D55" t="s">
        <v>720</v>
      </c>
      <c r="F55" t="s">
        <v>721</v>
      </c>
      <c r="G55" t="s">
        <v>722</v>
      </c>
      <c r="H55" t="s">
        <v>723</v>
      </c>
      <c r="I55" t="s">
        <v>724</v>
      </c>
      <c r="J55" t="s">
        <v>725</v>
      </c>
      <c r="K55" t="s">
        <v>726</v>
      </c>
      <c r="L55" t="s">
        <v>727</v>
      </c>
      <c r="M55" t="s">
        <v>728</v>
      </c>
    </row>
    <row r="56" spans="1:13">
      <c r="A56">
        <v>11</v>
      </c>
      <c r="B56">
        <v>55</v>
      </c>
      <c r="D56" t="s">
        <v>746</v>
      </c>
      <c r="F56" t="s">
        <v>746</v>
      </c>
    </row>
    <row r="57" spans="1:13">
      <c r="A57">
        <v>12</v>
      </c>
      <c r="B57">
        <v>56</v>
      </c>
      <c r="D57" t="s">
        <v>702</v>
      </c>
      <c r="F57" t="s">
        <v>700</v>
      </c>
      <c r="G57" t="s">
        <v>701</v>
      </c>
      <c r="H57" t="s">
        <v>703</v>
      </c>
    </row>
    <row r="58" spans="1:13">
      <c r="A58">
        <v>12</v>
      </c>
      <c r="B58">
        <v>57</v>
      </c>
      <c r="D58" t="s">
        <v>704</v>
      </c>
      <c r="F58" t="s">
        <v>704</v>
      </c>
      <c r="G58" t="s">
        <v>705</v>
      </c>
      <c r="H58" t="s">
        <v>706</v>
      </c>
      <c r="I58" t="s">
        <v>707</v>
      </c>
      <c r="J58" t="s">
        <v>708</v>
      </c>
      <c r="K58" t="s">
        <v>709</v>
      </c>
      <c r="L58" t="s">
        <v>710</v>
      </c>
      <c r="M58" t="s">
        <v>711</v>
      </c>
    </row>
    <row r="59" spans="1:13">
      <c r="A59">
        <v>12</v>
      </c>
      <c r="B59">
        <v>58</v>
      </c>
      <c r="D59" t="s">
        <v>720</v>
      </c>
      <c r="F59" t="s">
        <v>721</v>
      </c>
      <c r="G59" t="s">
        <v>722</v>
      </c>
      <c r="H59" t="s">
        <v>723</v>
      </c>
      <c r="I59" t="s">
        <v>724</v>
      </c>
      <c r="J59" t="s">
        <v>725</v>
      </c>
      <c r="K59" t="s">
        <v>726</v>
      </c>
      <c r="L59" t="s">
        <v>727</v>
      </c>
      <c r="M59" t="s">
        <v>728</v>
      </c>
    </row>
    <row r="60" spans="1:13">
      <c r="A60">
        <v>12</v>
      </c>
      <c r="B60">
        <v>59</v>
      </c>
      <c r="D60" t="s">
        <v>729</v>
      </c>
      <c r="F60" t="s">
        <v>704</v>
      </c>
      <c r="G60" t="s">
        <v>705</v>
      </c>
      <c r="H60" t="s">
        <v>706</v>
      </c>
      <c r="I60" t="s">
        <v>707</v>
      </c>
      <c r="J60" t="s">
        <v>708</v>
      </c>
      <c r="K60" t="s">
        <v>709</v>
      </c>
      <c r="L60" t="s">
        <v>710</v>
      </c>
      <c r="M60" t="s">
        <v>711</v>
      </c>
    </row>
    <row r="61" spans="1:13">
      <c r="A61">
        <v>13</v>
      </c>
      <c r="B61">
        <v>60</v>
      </c>
      <c r="D61" t="s">
        <v>702</v>
      </c>
      <c r="F61" t="s">
        <v>700</v>
      </c>
      <c r="G61" t="s">
        <v>701</v>
      </c>
      <c r="H61" t="s">
        <v>703</v>
      </c>
    </row>
    <row r="62" spans="1:13">
      <c r="A62">
        <v>13</v>
      </c>
      <c r="B62">
        <v>61</v>
      </c>
      <c r="D62" t="s">
        <v>704</v>
      </c>
      <c r="F62" t="s">
        <v>704</v>
      </c>
      <c r="G62" t="s">
        <v>705</v>
      </c>
      <c r="H62" t="s">
        <v>706</v>
      </c>
      <c r="I62" t="s">
        <v>707</v>
      </c>
      <c r="J62" t="s">
        <v>708</v>
      </c>
      <c r="K62" t="s">
        <v>709</v>
      </c>
      <c r="L62" t="s">
        <v>710</v>
      </c>
      <c r="M62" t="s">
        <v>711</v>
      </c>
    </row>
    <row r="63" spans="1:13">
      <c r="A63">
        <v>13</v>
      </c>
      <c r="B63">
        <v>62</v>
      </c>
      <c r="D63" t="s">
        <v>720</v>
      </c>
      <c r="F63" t="s">
        <v>721</v>
      </c>
      <c r="G63" t="s">
        <v>722</v>
      </c>
      <c r="H63" t="s">
        <v>723</v>
      </c>
      <c r="I63" t="s">
        <v>724</v>
      </c>
      <c r="J63" t="s">
        <v>725</v>
      </c>
      <c r="K63" t="s">
        <v>726</v>
      </c>
      <c r="L63" t="s">
        <v>727</v>
      </c>
      <c r="M63" t="s">
        <v>728</v>
      </c>
    </row>
    <row r="64" spans="1:13">
      <c r="A64">
        <v>14</v>
      </c>
      <c r="B64">
        <v>63</v>
      </c>
      <c r="D64" t="s">
        <v>699</v>
      </c>
      <c r="F64" t="s">
        <v>700</v>
      </c>
      <c r="G64" t="s">
        <v>701</v>
      </c>
    </row>
    <row r="65" spans="1:13">
      <c r="A65">
        <v>14</v>
      </c>
      <c r="B65">
        <v>64</v>
      </c>
      <c r="D65" t="s">
        <v>704</v>
      </c>
      <c r="F65" t="s">
        <v>704</v>
      </c>
      <c r="G65" t="s">
        <v>705</v>
      </c>
      <c r="H65" t="s">
        <v>706</v>
      </c>
      <c r="I65" t="s">
        <v>707</v>
      </c>
      <c r="J65" t="s">
        <v>708</v>
      </c>
      <c r="K65" t="s">
        <v>709</v>
      </c>
      <c r="L65" t="s">
        <v>710</v>
      </c>
      <c r="M65" t="s">
        <v>711</v>
      </c>
    </row>
    <row r="66" spans="1:13">
      <c r="A66">
        <v>14</v>
      </c>
      <c r="B66">
        <v>65</v>
      </c>
      <c r="D66" t="s">
        <v>712</v>
      </c>
      <c r="F66" t="s">
        <v>713</v>
      </c>
      <c r="G66" t="s">
        <v>714</v>
      </c>
      <c r="H66" t="s">
        <v>715</v>
      </c>
      <c r="I66" t="s">
        <v>716</v>
      </c>
      <c r="J66" t="s">
        <v>717</v>
      </c>
      <c r="K66" t="s">
        <v>718</v>
      </c>
      <c r="L66" t="s">
        <v>719</v>
      </c>
    </row>
    <row r="67" spans="1:13">
      <c r="A67">
        <v>14</v>
      </c>
      <c r="B67">
        <v>66</v>
      </c>
      <c r="D67" t="s">
        <v>749</v>
      </c>
      <c r="F67" t="s">
        <v>749</v>
      </c>
    </row>
  </sheetData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66E9-05A6-443A-9DCF-7ABF86374684}">
  <sheetPr codeName="Sheet8">
    <tabColor theme="7" tint="0.39997558519241921"/>
  </sheetPr>
  <dimension ref="A1:C8"/>
  <sheetViews>
    <sheetView workbookViewId="0">
      <selection activeCell="A8" sqref="A8"/>
    </sheetView>
  </sheetViews>
  <sheetFormatPr defaultColWidth="8.796875" defaultRowHeight="17.399999999999999"/>
  <sheetData>
    <row r="1" spans="1:3">
      <c r="A1" t="s">
        <v>52</v>
      </c>
      <c r="B1" t="s">
        <v>36</v>
      </c>
      <c r="C1" t="s">
        <v>140</v>
      </c>
    </row>
    <row r="2" spans="1:3">
      <c r="A2">
        <v>1</v>
      </c>
      <c r="B2">
        <v>2</v>
      </c>
      <c r="C2">
        <v>1</v>
      </c>
    </row>
    <row r="3" spans="1:3">
      <c r="A3">
        <v>2</v>
      </c>
      <c r="B3">
        <v>4</v>
      </c>
      <c r="C3">
        <v>3</v>
      </c>
    </row>
    <row r="4" spans="1:3">
      <c r="A4">
        <v>3</v>
      </c>
      <c r="B4">
        <v>5</v>
      </c>
      <c r="C4">
        <v>4</v>
      </c>
    </row>
    <row r="5" spans="1:3">
      <c r="A5">
        <v>4</v>
      </c>
      <c r="B5">
        <v>7</v>
      </c>
      <c r="C5">
        <v>6</v>
      </c>
    </row>
    <row r="6" spans="1:3">
      <c r="A6">
        <v>5</v>
      </c>
      <c r="B6">
        <v>9</v>
      </c>
      <c r="C6">
        <v>8</v>
      </c>
    </row>
    <row r="7" spans="1:3">
      <c r="A7">
        <v>6</v>
      </c>
      <c r="B7">
        <v>11</v>
      </c>
      <c r="C7">
        <v>10</v>
      </c>
    </row>
    <row r="8" spans="1:3">
      <c r="A8">
        <v>7</v>
      </c>
      <c r="B8">
        <v>15</v>
      </c>
      <c r="C8">
        <v>14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88635-7C33-4A6D-B507-C40004BAD523}">
  <dimension ref="A1"/>
  <sheetViews>
    <sheetView workbookViewId="0">
      <selection activeCell="H21" sqref="A21:H23"/>
    </sheetView>
  </sheetViews>
  <sheetFormatPr defaultRowHeight="17.399999999999999"/>
  <sheetData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2405D8E7E5A2147A8556D4858AF0ACF" ma:contentTypeVersion="8" ma:contentTypeDescription="새 문서를 만듭니다." ma:contentTypeScope="" ma:versionID="fcbc3e53e4aca2157839754e78e69de6">
  <xsd:schema xmlns:xsd="http://www.w3.org/2001/XMLSchema" xmlns:xs="http://www.w3.org/2001/XMLSchema" xmlns:p="http://schemas.microsoft.com/office/2006/metadata/properties" xmlns:ns2="d3538eb0-3aac-4241-9966-2a5720845e25" targetNamespace="http://schemas.microsoft.com/office/2006/metadata/properties" ma:root="true" ma:fieldsID="52458cc996123a7939346e1f944b764d" ns2:_="">
    <xsd:import namespace="d3538eb0-3aac-4241-9966-2a5720845e2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538eb0-3aac-4241-9966-2a5720845e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9E546F-8531-4ABA-A422-5EA9972DE28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846B572-17FF-4D59-B82D-423C36F67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538eb0-3aac-4241-9966-2a5720845e2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34CD77-3A14-4D7C-BFF8-360A5360A9B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8614D07-A6B9-424E-A2E4-4A3076698B1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인사_도안</vt:lpstr>
      <vt:lpstr>인사Sub1-채용및인사평가</vt:lpstr>
      <vt:lpstr>인사Sub3-급여관리_v2</vt:lpstr>
      <vt:lpstr>인사SUB4-퇴직급여 및 복리후생</vt:lpstr>
      <vt:lpstr>processdata</vt:lpstr>
      <vt:lpstr>parentnodedata</vt:lpstr>
      <vt:lpstr>basequestion</vt:lpstr>
      <vt:lpstr>processoption</vt:lpstr>
      <vt:lpstr>processoption2</vt:lpstr>
      <vt:lpstr>superpro_subpro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조희성</dc:creator>
  <cp:keywords/>
  <dc:description/>
  <cp:lastModifiedBy>조희성</cp:lastModifiedBy>
  <cp:revision/>
  <dcterms:created xsi:type="dcterms:W3CDTF">2021-11-25T01:50:58Z</dcterms:created>
  <dcterms:modified xsi:type="dcterms:W3CDTF">2022-03-14T11:10:16Z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0x010100A2405D8E7E5A2147A8556D4858AF0ACF</vt:lpwstr>
  </property>
  <property fmtid="{D5CDD505-2E9C-101B-9397-08002B2CF9AE}" pid="3" name="MSIP_Label_ea60d57e-af5b-4752-ac57-3e4f28ca11dc_Enabled">
    <vt:lpwstr>true</vt:lpwstr>
  </property>
  <property fmtid="{D5CDD505-2E9C-101B-9397-08002B2CF9AE}" pid="4" name="MSIP_Label_ea60d57e-af5b-4752-ac57-3e4f28ca11dc_SetDate">
    <vt:lpwstr>2022-02-10T06:58:28Z</vt:lpwstr>
  </property>
  <property fmtid="{D5CDD505-2E9C-101B-9397-08002B2CF9AE}" pid="5" name="MSIP_Label_ea60d57e-af5b-4752-ac57-3e4f28ca11dc_Method">
    <vt:lpwstr>Standard</vt:lpwstr>
  </property>
  <property fmtid="{D5CDD505-2E9C-101B-9397-08002B2CF9AE}" pid="6" name="MSIP_Label_ea60d57e-af5b-4752-ac57-3e4f28ca11dc_Name">
    <vt:lpwstr>ea60d57e-af5b-4752-ac57-3e4f28ca11dc</vt:lpwstr>
  </property>
  <property fmtid="{D5CDD505-2E9C-101B-9397-08002B2CF9AE}" pid="7" name="MSIP_Label_ea60d57e-af5b-4752-ac57-3e4f28ca11dc_SiteId">
    <vt:lpwstr>36da45f1-dd2c-4d1f-af13-5abe46b99921</vt:lpwstr>
  </property>
  <property fmtid="{D5CDD505-2E9C-101B-9397-08002B2CF9AE}" pid="8" name="MSIP_Label_ea60d57e-af5b-4752-ac57-3e4f28ca11dc_ActionId">
    <vt:lpwstr>a9ecce17-b531-452e-b5f1-b5148b39876d</vt:lpwstr>
  </property>
  <property fmtid="{D5CDD505-2E9C-101B-9397-08002B2CF9AE}" pid="9" name="MSIP_Label_ea60d57e-af5b-4752-ac57-3e4f28ca11dc_ContentBits">
    <vt:lpwstr>0</vt:lpwstr>
  </property>
</Properties>
</file>